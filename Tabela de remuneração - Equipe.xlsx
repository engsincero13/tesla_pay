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giba\Documents\Projetos\tesla_pay\"/>
    </mc:Choice>
  </mc:AlternateContent>
  <xr:revisionPtr revIDLastSave="0" documentId="13_ncr:1_{6D5B6A05-383E-4DD4-A810-4B31334F750F}" xr6:coauthVersionLast="47" xr6:coauthVersionMax="47" xr10:uidLastSave="{00000000-0000-0000-0000-000000000000}"/>
  <bookViews>
    <workbookView xWindow="28680" yWindow="-120" windowWidth="38640" windowHeight="15720" activeTab="4" xr2:uid="{00000000-000D-0000-FFFF-FFFF00000000}"/>
  </bookViews>
  <sheets>
    <sheet name="Dezembro" sheetId="1" r:id="rId1"/>
    <sheet name="Janeiro" sheetId="2" r:id="rId2"/>
    <sheet name="Fevereiro" sheetId="3" r:id="rId3"/>
    <sheet name="Maiok" sheetId="4" r:id="rId4"/>
    <sheet name="Junh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2" i="5" l="1"/>
  <c r="N123" i="5" s="1"/>
  <c r="N124" i="5" s="1"/>
  <c r="N125" i="5" s="1"/>
  <c r="N126" i="5" s="1"/>
  <c r="N127" i="5" s="1"/>
  <c r="N128" i="5" s="1"/>
  <c r="N129" i="5" s="1"/>
  <c r="N130" i="5" s="1"/>
  <c r="N131" i="5" s="1"/>
  <c r="N132" i="5" s="1"/>
  <c r="N133" i="5" s="1"/>
  <c r="N134" i="5" s="1"/>
  <c r="N135" i="5" s="1"/>
  <c r="N136" i="5" s="1"/>
  <c r="N137" i="5" s="1"/>
  <c r="N138" i="5" s="1"/>
  <c r="N139" i="5" s="1"/>
  <c r="N140" i="5" s="1"/>
  <c r="N141" i="5" s="1"/>
  <c r="N142" i="5" s="1"/>
  <c r="N143" i="5" s="1"/>
  <c r="N144" i="5" s="1"/>
  <c r="N145" i="5" s="1"/>
  <c r="N146" i="5" s="1"/>
  <c r="N147" i="5" s="1"/>
  <c r="N148" i="5" s="1"/>
  <c r="N149" i="5" s="1"/>
  <c r="N150" i="5" s="1"/>
  <c r="N151" i="5" s="1"/>
  <c r="N121" i="5"/>
  <c r="M116" i="5"/>
  <c r="M117" i="5" s="1"/>
  <c r="M118" i="5" s="1"/>
  <c r="M119" i="5" s="1"/>
  <c r="M120" i="5" s="1"/>
  <c r="M121" i="5" s="1"/>
  <c r="M122" i="5" s="1"/>
  <c r="M123" i="5" s="1"/>
  <c r="M124" i="5" s="1"/>
  <c r="M125" i="5" s="1"/>
  <c r="M126" i="5" s="1"/>
  <c r="M127" i="5" s="1"/>
  <c r="M128" i="5" s="1"/>
  <c r="M129" i="5" s="1"/>
  <c r="M130" i="5" s="1"/>
  <c r="M131" i="5" s="1"/>
  <c r="M132" i="5" s="1"/>
  <c r="M133" i="5" s="1"/>
  <c r="M134" i="5" s="1"/>
  <c r="M135" i="5" s="1"/>
  <c r="M136" i="5" s="1"/>
  <c r="M137" i="5" s="1"/>
  <c r="M138" i="5" s="1"/>
  <c r="M139" i="5" s="1"/>
  <c r="M140" i="5" s="1"/>
  <c r="M141" i="5" s="1"/>
  <c r="M142" i="5" s="1"/>
  <c r="M143" i="5" s="1"/>
  <c r="M144" i="5" s="1"/>
  <c r="M145" i="5" s="1"/>
  <c r="M146" i="5" s="1"/>
  <c r="M147" i="5" s="1"/>
  <c r="M148" i="5" s="1"/>
  <c r="M149" i="5" s="1"/>
  <c r="M150" i="5" s="1"/>
  <c r="M151" i="5" s="1"/>
  <c r="N114" i="5"/>
  <c r="N115" i="5" s="1"/>
  <c r="N116" i="5" s="1"/>
  <c r="N117" i="5" s="1"/>
  <c r="N118" i="5" s="1"/>
  <c r="N119" i="5" s="1"/>
  <c r="N120" i="5" s="1"/>
  <c r="N113" i="5"/>
  <c r="N112" i="5"/>
  <c r="M112" i="5"/>
  <c r="M113" i="5" s="1"/>
  <c r="M114" i="5" s="1"/>
  <c r="M115" i="5" s="1"/>
  <c r="N74" i="5"/>
  <c r="N75" i="5" s="1"/>
  <c r="N76" i="5" s="1"/>
  <c r="N77" i="5" s="1"/>
  <c r="N78" i="5" s="1"/>
  <c r="N79" i="5" s="1"/>
  <c r="N80" i="5" s="1"/>
  <c r="N81" i="5" s="1"/>
  <c r="N82" i="5" s="1"/>
  <c r="N83" i="5" s="1"/>
  <c r="N84" i="5" s="1"/>
  <c r="N85" i="5" s="1"/>
  <c r="N86" i="5" s="1"/>
  <c r="N87" i="5" s="1"/>
  <c r="N88" i="5" s="1"/>
  <c r="N89" i="5" s="1"/>
  <c r="N90" i="5" s="1"/>
  <c r="N91" i="5" s="1"/>
  <c r="N92" i="5" s="1"/>
  <c r="N93" i="5" s="1"/>
  <c r="N94" i="5" s="1"/>
  <c r="N95" i="5" s="1"/>
  <c r="N96" i="5" s="1"/>
  <c r="N97" i="5" s="1"/>
  <c r="N98" i="5" s="1"/>
  <c r="N99" i="5" s="1"/>
  <c r="N100" i="5" s="1"/>
  <c r="N101" i="5" s="1"/>
  <c r="N102" i="5" s="1"/>
  <c r="N103" i="5" s="1"/>
  <c r="N104" i="5" s="1"/>
  <c r="N105" i="5" s="1"/>
  <c r="N106" i="5" s="1"/>
  <c r="N71" i="5"/>
  <c r="N72" i="5" s="1"/>
  <c r="N73" i="5" s="1"/>
  <c r="N69" i="5"/>
  <c r="N70" i="5" s="1"/>
  <c r="N68" i="5"/>
  <c r="N67" i="5"/>
  <c r="M67" i="5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M81" i="5" s="1"/>
  <c r="M82" i="5" s="1"/>
  <c r="M83" i="5" s="1"/>
  <c r="M84" i="5" s="1"/>
  <c r="M85" i="5" s="1"/>
  <c r="M86" i="5" s="1"/>
  <c r="M87" i="5" s="1"/>
  <c r="M88" i="5" s="1"/>
  <c r="M89" i="5" s="1"/>
  <c r="M90" i="5" s="1"/>
  <c r="M91" i="5" s="1"/>
  <c r="M92" i="5" s="1"/>
  <c r="M93" i="5" s="1"/>
  <c r="M94" i="5" s="1"/>
  <c r="M95" i="5" s="1"/>
  <c r="M96" i="5" s="1"/>
  <c r="M97" i="5" s="1"/>
  <c r="M98" i="5" s="1"/>
  <c r="M99" i="5" s="1"/>
  <c r="M100" i="5" s="1"/>
  <c r="M101" i="5" s="1"/>
  <c r="M102" i="5" s="1"/>
  <c r="M103" i="5" s="1"/>
  <c r="M104" i="5" s="1"/>
  <c r="M105" i="5" s="1"/>
  <c r="M106" i="5" s="1"/>
  <c r="B53" i="5"/>
  <c r="B54" i="5" s="1"/>
  <c r="B55" i="5" s="1"/>
  <c r="B56" i="5" s="1"/>
  <c r="B57" i="5" s="1"/>
  <c r="B58" i="5" s="1"/>
  <c r="B59" i="5" s="1"/>
  <c r="B60" i="5" s="1"/>
  <c r="K52" i="5"/>
  <c r="K53" i="5" s="1"/>
  <c r="K54" i="5" s="1"/>
  <c r="K55" i="5" s="1"/>
  <c r="K56" i="5" s="1"/>
  <c r="K57" i="5" s="1"/>
  <c r="K58" i="5" s="1"/>
  <c r="K59" i="5" s="1"/>
  <c r="K60" i="5" s="1"/>
  <c r="B52" i="5"/>
  <c r="E49" i="5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47" i="5"/>
  <c r="E48" i="5" s="1"/>
  <c r="E45" i="5"/>
  <c r="E46" i="5" s="1"/>
  <c r="E43" i="5"/>
  <c r="E44" i="5" s="1"/>
  <c r="K42" i="5"/>
  <c r="K43" i="5" s="1"/>
  <c r="K44" i="5" s="1"/>
  <c r="K45" i="5" s="1"/>
  <c r="K46" i="5" s="1"/>
  <c r="K47" i="5" s="1"/>
  <c r="K48" i="5" s="1"/>
  <c r="K49" i="5" s="1"/>
  <c r="K50" i="5" s="1"/>
  <c r="H42" i="5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E42" i="5"/>
  <c r="B42" i="5"/>
  <c r="B43" i="5" s="1"/>
  <c r="B44" i="5" s="1"/>
  <c r="B45" i="5" s="1"/>
  <c r="B46" i="5" s="1"/>
  <c r="B47" i="5" s="1"/>
  <c r="B48" i="5" s="1"/>
  <c r="B49" i="5" s="1"/>
  <c r="B50" i="5" s="1"/>
  <c r="H33" i="5"/>
  <c r="H34" i="5" s="1"/>
  <c r="H35" i="5" s="1"/>
  <c r="H36" i="5" s="1"/>
  <c r="H37" i="5" s="1"/>
  <c r="H38" i="5" s="1"/>
  <c r="H39" i="5" s="1"/>
  <c r="H40" i="5" s="1"/>
  <c r="K32" i="5"/>
  <c r="K33" i="5" s="1"/>
  <c r="K34" i="5" s="1"/>
  <c r="K35" i="5" s="1"/>
  <c r="K36" i="5" s="1"/>
  <c r="K37" i="5" s="1"/>
  <c r="K38" i="5" s="1"/>
  <c r="K39" i="5" s="1"/>
  <c r="K40" i="5" s="1"/>
  <c r="H32" i="5"/>
  <c r="E32" i="5"/>
  <c r="E33" i="5" s="1"/>
  <c r="E34" i="5" s="1"/>
  <c r="E35" i="5" s="1"/>
  <c r="E36" i="5" s="1"/>
  <c r="E37" i="5" s="1"/>
  <c r="E38" i="5" s="1"/>
  <c r="E39" i="5" s="1"/>
  <c r="E40" i="5" s="1"/>
  <c r="B32" i="5"/>
  <c r="B33" i="5" s="1"/>
  <c r="B34" i="5" s="1"/>
  <c r="B35" i="5" s="1"/>
  <c r="B36" i="5" s="1"/>
  <c r="B37" i="5" s="1"/>
  <c r="B38" i="5" s="1"/>
  <c r="B39" i="5" s="1"/>
  <c r="B40" i="5" s="1"/>
  <c r="K23" i="5"/>
  <c r="K24" i="5" s="1"/>
  <c r="K25" i="5" s="1"/>
  <c r="K26" i="5" s="1"/>
  <c r="K27" i="5" s="1"/>
  <c r="K28" i="5" s="1"/>
  <c r="K29" i="5" s="1"/>
  <c r="K30" i="5" s="1"/>
  <c r="H23" i="5"/>
  <c r="H24" i="5" s="1"/>
  <c r="H25" i="5" s="1"/>
  <c r="H26" i="5" s="1"/>
  <c r="H27" i="5" s="1"/>
  <c r="H28" i="5" s="1"/>
  <c r="H29" i="5" s="1"/>
  <c r="H30" i="5" s="1"/>
  <c r="B23" i="5"/>
  <c r="B24" i="5" s="1"/>
  <c r="B25" i="5" s="1"/>
  <c r="B26" i="5" s="1"/>
  <c r="B27" i="5" s="1"/>
  <c r="B28" i="5" s="1"/>
  <c r="B29" i="5" s="1"/>
  <c r="B30" i="5" s="1"/>
  <c r="K22" i="5"/>
  <c r="H22" i="5"/>
  <c r="E22" i="5"/>
  <c r="E23" i="5" s="1"/>
  <c r="E24" i="5" s="1"/>
  <c r="E25" i="5" s="1"/>
  <c r="E26" i="5" s="1"/>
  <c r="E27" i="5" s="1"/>
  <c r="E28" i="5" s="1"/>
  <c r="E29" i="5" s="1"/>
  <c r="E30" i="5" s="1"/>
  <c r="B22" i="5"/>
  <c r="K13" i="5"/>
  <c r="K14" i="5" s="1"/>
  <c r="K15" i="5" s="1"/>
  <c r="K16" i="5" s="1"/>
  <c r="K17" i="5" s="1"/>
  <c r="K18" i="5" s="1"/>
  <c r="K19" i="5" s="1"/>
  <c r="K20" i="5" s="1"/>
  <c r="E13" i="5"/>
  <c r="E14" i="5" s="1"/>
  <c r="E15" i="5" s="1"/>
  <c r="E16" i="5" s="1"/>
  <c r="E17" i="5" s="1"/>
  <c r="E18" i="5" s="1"/>
  <c r="E19" i="5" s="1"/>
  <c r="E20" i="5" s="1"/>
  <c r="B13" i="5"/>
  <c r="B14" i="5" s="1"/>
  <c r="B15" i="5" s="1"/>
  <c r="B16" i="5" s="1"/>
  <c r="B17" i="5" s="1"/>
  <c r="B18" i="5" s="1"/>
  <c r="B19" i="5" s="1"/>
  <c r="B20" i="5" s="1"/>
  <c r="A13" i="5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K12" i="5"/>
  <c r="H12" i="5"/>
  <c r="H13" i="5" s="1"/>
  <c r="H14" i="5" s="1"/>
  <c r="H15" i="5" s="1"/>
  <c r="H16" i="5" s="1"/>
  <c r="H17" i="5" s="1"/>
  <c r="H18" i="5" s="1"/>
  <c r="H19" i="5" s="1"/>
  <c r="H20" i="5" s="1"/>
  <c r="E12" i="5"/>
  <c r="B12" i="5"/>
  <c r="E9" i="5"/>
  <c r="E10" i="5" s="1"/>
  <c r="E7" i="5"/>
  <c r="E8" i="5" s="1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B6" i="5"/>
  <c r="B7" i="5" s="1"/>
  <c r="B8" i="5" s="1"/>
  <c r="B9" i="5" s="1"/>
  <c r="B10" i="5" s="1"/>
  <c r="E5" i="5"/>
  <c r="E6" i="5" s="1"/>
  <c r="D5" i="5"/>
  <c r="K4" i="5"/>
  <c r="K5" i="5" s="1"/>
  <c r="K6" i="5" s="1"/>
  <c r="K7" i="5" s="1"/>
  <c r="K8" i="5" s="1"/>
  <c r="K9" i="5" s="1"/>
  <c r="K10" i="5" s="1"/>
  <c r="J4" i="5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2" i="5" s="1"/>
  <c r="J53" i="5" s="1"/>
  <c r="J54" i="5" s="1"/>
  <c r="J55" i="5" s="1"/>
  <c r="J56" i="5" s="1"/>
  <c r="J57" i="5" s="1"/>
  <c r="J58" i="5" s="1"/>
  <c r="J59" i="5" s="1"/>
  <c r="J60" i="5" s="1"/>
  <c r="J61" i="5" s="1"/>
  <c r="H4" i="5"/>
  <c r="H5" i="5" s="1"/>
  <c r="H6" i="5" s="1"/>
  <c r="H7" i="5" s="1"/>
  <c r="H8" i="5" s="1"/>
  <c r="H9" i="5" s="1"/>
  <c r="H10" i="5" s="1"/>
  <c r="G4" i="5"/>
  <c r="G5" i="5" s="1"/>
  <c r="G6" i="5" s="1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E4" i="5"/>
  <c r="D4" i="5"/>
  <c r="B4" i="5"/>
  <c r="B5" i="5" s="1"/>
  <c r="A4" i="5"/>
  <c r="A5" i="5" s="1"/>
  <c r="A6" i="5" s="1"/>
  <c r="A7" i="5" s="1"/>
  <c r="A8" i="5" s="1"/>
  <c r="A9" i="5" s="1"/>
  <c r="A10" i="5" s="1"/>
  <c r="A11" i="5" s="1"/>
  <c r="A12" i="5" s="1"/>
  <c r="C110" i="4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08" i="4"/>
  <c r="C109" i="4" s="1"/>
  <c r="C107" i="4"/>
  <c r="B106" i="4"/>
  <c r="B107" i="4" s="1"/>
  <c r="C74" i="4"/>
  <c r="D74" i="4" s="1"/>
  <c r="D73" i="4"/>
  <c r="C42" i="4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38" i="4"/>
  <c r="C39" i="4" s="1"/>
  <c r="C40" i="4" s="1"/>
  <c r="C41" i="4" s="1"/>
  <c r="B38" i="4"/>
  <c r="C37" i="4"/>
  <c r="B37" i="4"/>
  <c r="D37" i="4" s="1"/>
  <c r="D36" i="4"/>
  <c r="B36" i="4"/>
  <c r="B26" i="4"/>
  <c r="D26" i="4" s="1"/>
  <c r="D25" i="4"/>
  <c r="B25" i="4"/>
  <c r="D24" i="4"/>
  <c r="D23" i="4"/>
  <c r="D22" i="4"/>
  <c r="D21" i="4"/>
  <c r="D20" i="4"/>
  <c r="D19" i="4"/>
  <c r="B19" i="4"/>
  <c r="D18" i="4"/>
  <c r="B17" i="4"/>
  <c r="D17" i="4" s="1"/>
  <c r="D16" i="4"/>
  <c r="D15" i="4"/>
  <c r="B15" i="4"/>
  <c r="D14" i="4"/>
  <c r="D13" i="4"/>
  <c r="B13" i="4"/>
  <c r="D12" i="4"/>
  <c r="B11" i="4"/>
  <c r="D11" i="4" s="1"/>
  <c r="D10" i="4"/>
  <c r="B9" i="4"/>
  <c r="D9" i="4" s="1"/>
  <c r="D8" i="4"/>
  <c r="D7" i="4"/>
  <c r="D6" i="4"/>
  <c r="D5" i="4"/>
  <c r="D4" i="4"/>
  <c r="E40" i="3"/>
  <c r="E32" i="3"/>
  <c r="C32" i="3"/>
  <c r="C43" i="3" s="1"/>
  <c r="E43" i="3" s="1"/>
  <c r="E29" i="3"/>
  <c r="C29" i="3"/>
  <c r="C40" i="3" s="1"/>
  <c r="C28" i="3"/>
  <c r="E28" i="3" s="1"/>
  <c r="D27" i="3"/>
  <c r="C27" i="3"/>
  <c r="C38" i="3" s="1"/>
  <c r="E38" i="3" s="1"/>
  <c r="C23" i="3"/>
  <c r="E21" i="3"/>
  <c r="C21" i="3"/>
  <c r="C20" i="3"/>
  <c r="C19" i="3"/>
  <c r="E19" i="3" s="1"/>
  <c r="E18" i="3"/>
  <c r="C18" i="3"/>
  <c r="C17" i="3"/>
  <c r="E17" i="3" s="1"/>
  <c r="C16" i="3"/>
  <c r="E16" i="3" s="1"/>
  <c r="E11" i="3"/>
  <c r="C10" i="3"/>
  <c r="E10" i="3" s="1"/>
  <c r="E9" i="3"/>
  <c r="E8" i="3"/>
  <c r="E7" i="3"/>
  <c r="E6" i="3"/>
  <c r="E5" i="3"/>
  <c r="E4" i="3"/>
  <c r="D76" i="2"/>
  <c r="H41" i="2"/>
  <c r="C39" i="2"/>
  <c r="E39" i="2" s="1"/>
  <c r="H32" i="2"/>
  <c r="C32" i="2"/>
  <c r="E32" i="2" s="1"/>
  <c r="C31" i="2"/>
  <c r="E31" i="2" s="1"/>
  <c r="C28" i="2"/>
  <c r="E28" i="2" s="1"/>
  <c r="D27" i="2"/>
  <c r="C27" i="2"/>
  <c r="C23" i="2"/>
  <c r="C34" i="2" s="1"/>
  <c r="C21" i="2"/>
  <c r="H20" i="2"/>
  <c r="E20" i="2"/>
  <c r="C20" i="2"/>
  <c r="C19" i="2"/>
  <c r="C18" i="2"/>
  <c r="E18" i="2" s="1"/>
  <c r="C17" i="2"/>
  <c r="E17" i="2" s="1"/>
  <c r="C16" i="2"/>
  <c r="E16" i="2" s="1"/>
  <c r="E11" i="2"/>
  <c r="E10" i="2"/>
  <c r="C10" i="2"/>
  <c r="E9" i="2"/>
  <c r="E8" i="2"/>
  <c r="H7" i="2"/>
  <c r="E7" i="2"/>
  <c r="E6" i="2"/>
  <c r="E5" i="2"/>
  <c r="E4" i="2"/>
  <c r="E37" i="1"/>
  <c r="E36" i="1"/>
  <c r="E35" i="1"/>
  <c r="E34" i="1"/>
  <c r="E33" i="1"/>
  <c r="E32" i="1"/>
  <c r="E28" i="1"/>
  <c r="E27" i="1"/>
  <c r="E26" i="1"/>
  <c r="E25" i="1"/>
  <c r="E24" i="1"/>
  <c r="E23" i="1"/>
  <c r="E19" i="1"/>
  <c r="E18" i="1"/>
  <c r="E17" i="1"/>
  <c r="E16" i="1"/>
  <c r="E15" i="1"/>
  <c r="E14" i="1"/>
  <c r="E9" i="1"/>
  <c r="E8" i="1"/>
  <c r="E7" i="1"/>
  <c r="E6" i="1"/>
  <c r="E5" i="1"/>
  <c r="E4" i="1"/>
  <c r="C45" i="2" l="1"/>
  <c r="E45" i="2" s="1"/>
  <c r="E34" i="2"/>
  <c r="C34" i="3"/>
  <c r="E23" i="3"/>
  <c r="C38" i="2"/>
  <c r="E38" i="2" s="1"/>
  <c r="E27" i="2"/>
  <c r="E27" i="3"/>
  <c r="C42" i="2"/>
  <c r="C43" i="2"/>
  <c r="E43" i="2" s="1"/>
  <c r="C29" i="2"/>
  <c r="C30" i="3"/>
  <c r="E23" i="2"/>
  <c r="B27" i="4"/>
  <c r="D106" i="4"/>
  <c r="E20" i="3"/>
  <c r="C31" i="3"/>
  <c r="C33" i="2"/>
  <c r="E33" i="2" s="1"/>
  <c r="B75" i="4"/>
  <c r="B39" i="4"/>
  <c r="C22" i="2"/>
  <c r="E22" i="2" s="1"/>
  <c r="C22" i="3"/>
  <c r="E22" i="3" s="1"/>
  <c r="B108" i="4"/>
  <c r="D107" i="4"/>
  <c r="C75" i="4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30" i="2"/>
  <c r="E19" i="2"/>
  <c r="E21" i="2"/>
  <c r="C39" i="3"/>
  <c r="E39" i="3" s="1"/>
  <c r="D38" i="4"/>
  <c r="D27" i="4" l="1"/>
  <c r="B28" i="4"/>
  <c r="E30" i="3"/>
  <c r="C41" i="3"/>
  <c r="E41" i="3" s="1"/>
  <c r="E29" i="2"/>
  <c r="C40" i="2"/>
  <c r="E40" i="2" s="1"/>
  <c r="B109" i="4"/>
  <c r="D108" i="4"/>
  <c r="C45" i="3"/>
  <c r="E45" i="3" s="1"/>
  <c r="C33" i="3"/>
  <c r="E33" i="3" s="1"/>
  <c r="E34" i="3"/>
  <c r="C41" i="2"/>
  <c r="E41" i="2" s="1"/>
  <c r="E30" i="2"/>
  <c r="E31" i="3"/>
  <c r="C42" i="3"/>
  <c r="E42" i="2"/>
  <c r="C44" i="2"/>
  <c r="E44" i="2" s="1"/>
  <c r="B40" i="4"/>
  <c r="D39" i="4"/>
  <c r="B76" i="4"/>
  <c r="D75" i="4"/>
  <c r="B77" i="4" l="1"/>
  <c r="D76" i="4"/>
  <c r="E42" i="3"/>
  <c r="C44" i="3"/>
  <c r="E44" i="3" s="1"/>
  <c r="B110" i="4"/>
  <c r="D109" i="4"/>
  <c r="B41" i="4"/>
  <c r="D40" i="4"/>
  <c r="B29" i="4"/>
  <c r="D28" i="4"/>
  <c r="B78" i="4" l="1"/>
  <c r="D77" i="4"/>
  <c r="D29" i="4"/>
  <c r="B30" i="4"/>
  <c r="D41" i="4"/>
  <c r="B42" i="4"/>
  <c r="B111" i="4"/>
  <c r="D110" i="4"/>
  <c r="B112" i="4" l="1"/>
  <c r="D111" i="4"/>
  <c r="D42" i="4"/>
  <c r="B43" i="4"/>
  <c r="B31" i="4"/>
  <c r="D30" i="4"/>
  <c r="B79" i="4"/>
  <c r="D78" i="4"/>
  <c r="B80" i="4" l="1"/>
  <c r="D79" i="4"/>
  <c r="B32" i="4"/>
  <c r="D32" i="4" s="1"/>
  <c r="D31" i="4"/>
  <c r="B44" i="4"/>
  <c r="D43" i="4"/>
  <c r="B113" i="4"/>
  <c r="D112" i="4"/>
  <c r="D113" i="4" l="1"/>
  <c r="B114" i="4"/>
  <c r="D44" i="4"/>
  <c r="B45" i="4"/>
  <c r="D80" i="4"/>
  <c r="B81" i="4"/>
  <c r="B82" i="4" l="1"/>
  <c r="D81" i="4"/>
  <c r="B46" i="4"/>
  <c r="D45" i="4"/>
  <c r="D114" i="4"/>
  <c r="B115" i="4"/>
  <c r="D115" i="4" l="1"/>
  <c r="B116" i="4"/>
  <c r="B47" i="4"/>
  <c r="D46" i="4"/>
  <c r="D82" i="4"/>
  <c r="B83" i="4"/>
  <c r="B48" i="4" l="1"/>
  <c r="D47" i="4"/>
  <c r="D116" i="4"/>
  <c r="B117" i="4"/>
  <c r="D83" i="4"/>
  <c r="B84" i="4"/>
  <c r="B85" i="4" l="1"/>
  <c r="D84" i="4"/>
  <c r="B118" i="4"/>
  <c r="D117" i="4"/>
  <c r="B49" i="4"/>
  <c r="D48" i="4"/>
  <c r="B50" i="4" l="1"/>
  <c r="D49" i="4"/>
  <c r="B119" i="4"/>
  <c r="D118" i="4"/>
  <c r="D85" i="4"/>
  <c r="B86" i="4"/>
  <c r="B51" i="4" l="1"/>
  <c r="D50" i="4"/>
  <c r="B87" i="4"/>
  <c r="D86" i="4"/>
  <c r="B120" i="4"/>
  <c r="D119" i="4"/>
  <c r="B121" i="4" l="1"/>
  <c r="D120" i="4"/>
  <c r="B88" i="4"/>
  <c r="D87" i="4"/>
  <c r="B52" i="4"/>
  <c r="D51" i="4"/>
  <c r="D52" i="4" l="1"/>
  <c r="B53" i="4"/>
  <c r="B89" i="4"/>
  <c r="D88" i="4"/>
  <c r="B122" i="4"/>
  <c r="D121" i="4"/>
  <c r="B123" i="4" l="1"/>
  <c r="D122" i="4"/>
  <c r="B90" i="4"/>
  <c r="D89" i="4"/>
  <c r="B54" i="4"/>
  <c r="D53" i="4"/>
  <c r="B55" i="4" l="1"/>
  <c r="D54" i="4"/>
  <c r="B91" i="4"/>
  <c r="D90" i="4"/>
  <c r="B124" i="4"/>
  <c r="D123" i="4"/>
  <c r="B125" i="4" l="1"/>
  <c r="D124" i="4"/>
  <c r="B92" i="4"/>
  <c r="D91" i="4"/>
  <c r="D55" i="4"/>
  <c r="B56" i="4"/>
  <c r="B93" i="4" l="1"/>
  <c r="D92" i="4"/>
  <c r="D125" i="4"/>
  <c r="B126" i="4"/>
  <c r="B57" i="4"/>
  <c r="D56" i="4"/>
  <c r="D57" i="4" l="1"/>
  <c r="B58" i="4"/>
  <c r="B127" i="4"/>
  <c r="D126" i="4"/>
  <c r="D93" i="4"/>
  <c r="B94" i="4"/>
  <c r="B95" i="4" l="1"/>
  <c r="D94" i="4"/>
  <c r="B128" i="4"/>
  <c r="D127" i="4"/>
  <c r="D58" i="4"/>
  <c r="B59" i="4"/>
  <c r="D59" i="4" l="1"/>
  <c r="B60" i="4"/>
  <c r="B129" i="4"/>
  <c r="D128" i="4"/>
  <c r="B96" i="4"/>
  <c r="D95" i="4"/>
  <c r="D96" i="4" l="1"/>
  <c r="B97" i="4"/>
  <c r="D129" i="4"/>
  <c r="B130" i="4"/>
  <c r="D60" i="4"/>
  <c r="B61" i="4"/>
  <c r="D61" i="4" l="1"/>
  <c r="B62" i="4"/>
  <c r="D130" i="4"/>
  <c r="B131" i="4"/>
  <c r="B98" i="4"/>
  <c r="D97" i="4"/>
  <c r="D98" i="4" l="1"/>
  <c r="B99" i="4"/>
  <c r="D131" i="4"/>
  <c r="B132" i="4"/>
  <c r="B63" i="4"/>
  <c r="D62" i="4"/>
  <c r="B64" i="4" l="1"/>
  <c r="D64" i="4" s="1"/>
  <c r="D63" i="4"/>
  <c r="D132" i="4"/>
  <c r="B133" i="4"/>
  <c r="D99" i="4"/>
  <c r="B100" i="4"/>
  <c r="D100" i="4" l="1"/>
  <c r="B101" i="4"/>
  <c r="D101" i="4" s="1"/>
  <c r="B134" i="4"/>
  <c r="D134" i="4" s="1"/>
  <c r="D133" i="4"/>
</calcChain>
</file>

<file path=xl/sharedStrings.xml><?xml version="1.0" encoding="utf-8"?>
<sst xmlns="http://schemas.openxmlformats.org/spreadsheetml/2006/main" count="418" uniqueCount="77">
  <si>
    <t>Fábio - Dezembro</t>
  </si>
  <si>
    <t>Meta</t>
  </si>
  <si>
    <t>Faturamento Bruto</t>
  </si>
  <si>
    <t xml:space="preserve">Comissão </t>
  </si>
  <si>
    <t>Fixo + Váriável</t>
  </si>
  <si>
    <t>Total</t>
  </si>
  <si>
    <t>Bronze</t>
  </si>
  <si>
    <t>150k</t>
  </si>
  <si>
    <t>Prata</t>
  </si>
  <si>
    <t>160k</t>
  </si>
  <si>
    <t>Ouro</t>
  </si>
  <si>
    <t>170k</t>
  </si>
  <si>
    <t>Esmeralda</t>
  </si>
  <si>
    <t>180k</t>
  </si>
  <si>
    <t>Rubi</t>
  </si>
  <si>
    <t>190k</t>
  </si>
  <si>
    <t>Safira</t>
  </si>
  <si>
    <t>200k</t>
  </si>
  <si>
    <t>João - Dezembro</t>
  </si>
  <si>
    <t>Giba - Dezembro</t>
  </si>
  <si>
    <t>Premiação</t>
  </si>
  <si>
    <t>Abner - Dezembro</t>
  </si>
  <si>
    <t xml:space="preserve">Fábio </t>
  </si>
  <si>
    <t>110k</t>
  </si>
  <si>
    <t>120k</t>
  </si>
  <si>
    <t>130k</t>
  </si>
  <si>
    <t>140k</t>
  </si>
  <si>
    <t>Premiação proporcional</t>
  </si>
  <si>
    <t>165k</t>
  </si>
  <si>
    <t>Diamante Negro</t>
  </si>
  <si>
    <t xml:space="preserve">João </t>
  </si>
  <si>
    <t xml:space="preserve">Premiação Proporcional </t>
  </si>
  <si>
    <t xml:space="preserve">Giba </t>
  </si>
  <si>
    <t>Premiação Proporcional</t>
  </si>
  <si>
    <t>Abner</t>
  </si>
  <si>
    <t>Inter</t>
  </si>
  <si>
    <t>Conta corrente</t>
  </si>
  <si>
    <t>Investido</t>
  </si>
  <si>
    <t>Mercado Pago</t>
  </si>
  <si>
    <t>Saldo disponível</t>
  </si>
  <si>
    <t>Dinheiro a liberar</t>
  </si>
  <si>
    <t>Pagar.me</t>
  </si>
  <si>
    <t>Saldo atual</t>
  </si>
  <si>
    <t>A receber</t>
  </si>
  <si>
    <t xml:space="preserve">Hotmart </t>
  </si>
  <si>
    <t>Saldo total</t>
  </si>
  <si>
    <t>TMB</t>
  </si>
  <si>
    <t xml:space="preserve">Saldo total </t>
  </si>
  <si>
    <t>Youshop</t>
  </si>
  <si>
    <t>Soma ----&gt;</t>
  </si>
  <si>
    <t>Fábio</t>
  </si>
  <si>
    <t>Meta - Faturamento Bruto</t>
  </si>
  <si>
    <t>115k</t>
  </si>
  <si>
    <t>125k</t>
  </si>
  <si>
    <t>135k</t>
  </si>
  <si>
    <t>145k</t>
  </si>
  <si>
    <t>155k</t>
  </si>
  <si>
    <t>175k</t>
  </si>
  <si>
    <t>185k</t>
  </si>
  <si>
    <t>195k</t>
  </si>
  <si>
    <t>205k</t>
  </si>
  <si>
    <t>210k</t>
  </si>
  <si>
    <t>215k</t>
  </si>
  <si>
    <t>220k</t>
  </si>
  <si>
    <t>225k</t>
  </si>
  <si>
    <t>230k</t>
  </si>
  <si>
    <t>235k</t>
  </si>
  <si>
    <t>240k</t>
  </si>
  <si>
    <t>245k</t>
  </si>
  <si>
    <t>250k</t>
  </si>
  <si>
    <t>João</t>
  </si>
  <si>
    <t>Giba</t>
  </si>
  <si>
    <t>Fabio</t>
  </si>
  <si>
    <t>Faturamento</t>
  </si>
  <si>
    <t>Valor  a Receber</t>
  </si>
  <si>
    <t>Pablo</t>
  </si>
  <si>
    <t>Geovany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</si>
</sst>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[$R$ -416]* #,##0.00_);_([$R$ -416]* \(#,##0.00\);_([$R$ -416]* &quot;-&quot;??_);_(@_)"/>
    <numFmt numFmtId="165" formatCode="[$R$ -416]#,##0.00"/>
  </numFmts>
  <fonts count="16" x14ac:knownFonts="1">
    <font>
      <sz val="10"/>
      <color rgb="FF000000"/>
      <name val="Arial"/>
      <scheme val="minor"/>
    </font>
    <font>
      <b/>
      <sz val="10"/>
      <color theme="1"/>
      <name val="Montserrat"/>
    </font>
    <font>
      <sz val="10"/>
      <color theme="1"/>
      <name val="Montserrat"/>
    </font>
    <font>
      <sz val="10"/>
      <name val="Arial"/>
    </font>
    <font>
      <b/>
      <i/>
      <sz val="10"/>
      <color theme="1"/>
      <name val="Montserrat"/>
    </font>
    <font>
      <i/>
      <sz val="10"/>
      <color theme="1"/>
      <name val="Montserrat"/>
    </font>
    <font>
      <b/>
      <i/>
      <sz val="10"/>
      <color rgb="FF38761D"/>
      <name val="Montserrat"/>
    </font>
    <font>
      <b/>
      <u/>
      <sz val="10"/>
      <color rgb="FF0000FF"/>
      <name val="Montserrat"/>
    </font>
    <font>
      <b/>
      <i/>
      <sz val="14"/>
      <color theme="1"/>
      <name val="Montserrat"/>
    </font>
    <font>
      <i/>
      <sz val="14"/>
      <color theme="1"/>
      <name val="Montserrat"/>
    </font>
    <font>
      <b/>
      <i/>
      <sz val="14"/>
      <color rgb="FF38761D"/>
      <name val="Montserrat"/>
    </font>
    <font>
      <b/>
      <sz val="14"/>
      <color theme="1"/>
      <name val="Montserrat"/>
    </font>
    <font>
      <b/>
      <sz val="10"/>
      <color rgb="FFFFFFFF"/>
      <name val="Montserrat"/>
    </font>
    <font>
      <sz val="14"/>
      <color theme="1"/>
      <name val="Montserrat"/>
    </font>
    <font>
      <b/>
      <i/>
      <sz val="10"/>
      <color rgb="FF63D297"/>
      <name val="Montserrat"/>
    </font>
    <font>
      <b/>
      <i/>
      <sz val="10"/>
      <color rgb="FFFFFFFF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7CB4D"/>
        <bgColor rgb="FFF7CB4D"/>
      </patternFill>
    </fill>
    <fill>
      <patternFill patternType="solid">
        <fgColor rgb="FFFEF8E3"/>
        <bgColor rgb="FFFEF8E3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rgb="FF8BC34A"/>
        <bgColor rgb="FF8BC34A"/>
      </patternFill>
    </fill>
    <fill>
      <patternFill patternType="solid">
        <fgColor rgb="FFEEF7E3"/>
        <bgColor rgb="FFEEF7E3"/>
      </patternFill>
    </fill>
    <fill>
      <patternFill patternType="solid">
        <fgColor rgb="FFFFE599"/>
        <bgColor rgb="FFFFE599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9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2" fillId="0" borderId="0" xfId="0" applyFont="1"/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5" fillId="0" borderId="4" xfId="0" applyFont="1" applyBorder="1" applyAlignment="1"/>
    <xf numFmtId="0" fontId="5" fillId="0" borderId="4" xfId="0" applyFont="1" applyBorder="1" applyAlignment="1">
      <alignment horizontal="center"/>
    </xf>
    <xf numFmtId="164" fontId="5" fillId="0" borderId="4" xfId="0" applyNumberFormat="1" applyFont="1" applyBorder="1" applyAlignment="1"/>
    <xf numFmtId="164" fontId="6" fillId="0" borderId="4" xfId="0" applyNumberFormat="1" applyFont="1" applyBorder="1"/>
    <xf numFmtId="0" fontId="5" fillId="0" borderId="0" xfId="0" applyFont="1"/>
    <xf numFmtId="0" fontId="2" fillId="0" borderId="0" xfId="0" applyFont="1" applyAlignment="1"/>
    <xf numFmtId="0" fontId="4" fillId="3" borderId="4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center"/>
    </xf>
    <xf numFmtId="164" fontId="4" fillId="3" borderId="4" xfId="0" applyNumberFormat="1" applyFont="1" applyFill="1" applyBorder="1" applyAlignment="1">
      <alignment horizontal="center"/>
    </xf>
    <xf numFmtId="0" fontId="5" fillId="4" borderId="4" xfId="0" applyFont="1" applyFill="1" applyBorder="1" applyAlignment="1"/>
    <xf numFmtId="0" fontId="5" fillId="4" borderId="4" xfId="0" applyFont="1" applyFill="1" applyBorder="1" applyAlignment="1">
      <alignment horizontal="center"/>
    </xf>
    <xf numFmtId="164" fontId="5" fillId="4" borderId="4" xfId="0" applyNumberFormat="1" applyFont="1" applyFill="1" applyBorder="1" applyAlignment="1"/>
    <xf numFmtId="164" fontId="6" fillId="4" borderId="4" xfId="0" applyNumberFormat="1" applyFont="1" applyFill="1" applyBorder="1"/>
    <xf numFmtId="0" fontId="5" fillId="3" borderId="4" xfId="0" applyFont="1" applyFill="1" applyBorder="1" applyAlignment="1"/>
    <xf numFmtId="0" fontId="5" fillId="3" borderId="4" xfId="0" applyFont="1" applyFill="1" applyBorder="1" applyAlignment="1">
      <alignment horizontal="center"/>
    </xf>
    <xf numFmtId="164" fontId="5" fillId="3" borderId="4" xfId="0" applyNumberFormat="1" applyFont="1" applyFill="1" applyBorder="1" applyAlignment="1"/>
    <xf numFmtId="164" fontId="6" fillId="3" borderId="4" xfId="0" applyNumberFormat="1" applyFont="1" applyFill="1" applyBorder="1"/>
    <xf numFmtId="0" fontId="5" fillId="0" borderId="0" xfId="0" applyFont="1" applyAlignment="1"/>
    <xf numFmtId="0" fontId="4" fillId="4" borderId="4" xfId="0" applyFont="1" applyFill="1" applyBorder="1" applyAlignment="1"/>
    <xf numFmtId="0" fontId="4" fillId="3" borderId="4" xfId="0" applyFont="1" applyFill="1" applyBorder="1" applyAlignment="1"/>
    <xf numFmtId="0" fontId="1" fillId="0" borderId="0" xfId="0" applyFont="1" applyAlignment="1">
      <alignment horizontal="center"/>
    </xf>
    <xf numFmtId="0" fontId="5" fillId="6" borderId="4" xfId="0" applyFont="1" applyFill="1" applyBorder="1" applyAlignment="1"/>
    <xf numFmtId="0" fontId="5" fillId="6" borderId="4" xfId="0" applyFont="1" applyFill="1" applyBorder="1" applyAlignment="1">
      <alignment horizontal="center"/>
    </xf>
    <xf numFmtId="164" fontId="5" fillId="6" borderId="4" xfId="0" applyNumberFormat="1" applyFont="1" applyFill="1" applyBorder="1" applyAlignment="1"/>
    <xf numFmtId="164" fontId="6" fillId="6" borderId="4" xfId="0" applyNumberFormat="1" applyFont="1" applyFill="1" applyBorder="1"/>
    <xf numFmtId="0" fontId="4" fillId="6" borderId="4" xfId="0" applyFont="1" applyFill="1" applyBorder="1" applyAlignment="1"/>
    <xf numFmtId="0" fontId="5" fillId="8" borderId="4" xfId="0" applyFont="1" applyFill="1" applyBorder="1" applyAlignment="1"/>
    <xf numFmtId="0" fontId="5" fillId="8" borderId="4" xfId="0" applyFont="1" applyFill="1" applyBorder="1" applyAlignment="1">
      <alignment horizontal="center"/>
    </xf>
    <xf numFmtId="164" fontId="5" fillId="8" borderId="4" xfId="0" applyNumberFormat="1" applyFont="1" applyFill="1" applyBorder="1" applyAlignment="1"/>
    <xf numFmtId="164" fontId="6" fillId="8" borderId="4" xfId="0" applyNumberFormat="1" applyFont="1" applyFill="1" applyBorder="1"/>
    <xf numFmtId="0" fontId="1" fillId="8" borderId="4" xfId="0" applyFont="1" applyFill="1" applyBorder="1" applyAlignment="1"/>
    <xf numFmtId="0" fontId="2" fillId="8" borderId="4" xfId="0" applyFont="1" applyFill="1" applyBorder="1" applyAlignment="1">
      <alignment horizontal="center"/>
    </xf>
    <xf numFmtId="164" fontId="2" fillId="8" borderId="4" xfId="0" applyNumberFormat="1" applyFont="1" applyFill="1" applyBorder="1" applyAlignment="1"/>
    <xf numFmtId="0" fontId="1" fillId="3" borderId="4" xfId="0" applyFont="1" applyFill="1" applyBorder="1" applyAlignment="1"/>
    <xf numFmtId="0" fontId="2" fillId="3" borderId="4" xfId="0" applyFont="1" applyFill="1" applyBorder="1" applyAlignment="1">
      <alignment horizontal="center"/>
    </xf>
    <xf numFmtId="164" fontId="2" fillId="3" borderId="4" xfId="0" applyNumberFormat="1" applyFont="1" applyFill="1" applyBorder="1" applyAlignment="1"/>
    <xf numFmtId="0" fontId="5" fillId="10" borderId="4" xfId="0" applyFont="1" applyFill="1" applyBorder="1" applyAlignment="1"/>
    <xf numFmtId="0" fontId="5" fillId="10" borderId="4" xfId="0" applyFont="1" applyFill="1" applyBorder="1" applyAlignment="1">
      <alignment horizontal="center"/>
    </xf>
    <xf numFmtId="164" fontId="5" fillId="10" borderId="4" xfId="0" applyNumberFormat="1" applyFont="1" applyFill="1" applyBorder="1" applyAlignment="1"/>
    <xf numFmtId="164" fontId="6" fillId="10" borderId="4" xfId="0" applyNumberFormat="1" applyFont="1" applyFill="1" applyBorder="1"/>
    <xf numFmtId="0" fontId="1" fillId="10" borderId="4" xfId="0" applyFont="1" applyFill="1" applyBorder="1" applyAlignment="1"/>
    <xf numFmtId="0" fontId="2" fillId="10" borderId="4" xfId="0" applyFont="1" applyFill="1" applyBorder="1" applyAlignment="1">
      <alignment horizontal="center"/>
    </xf>
    <xf numFmtId="164" fontId="2" fillId="10" borderId="4" xfId="0" applyNumberFormat="1" applyFont="1" applyFill="1" applyBorder="1" applyAlignment="1"/>
    <xf numFmtId="0" fontId="2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164" fontId="2" fillId="0" borderId="4" xfId="0" applyNumberFormat="1" applyFont="1" applyBorder="1" applyAlignment="1"/>
    <xf numFmtId="165" fontId="5" fillId="0" borderId="4" xfId="0" applyNumberFormat="1" applyFont="1" applyBorder="1" applyAlignment="1"/>
    <xf numFmtId="0" fontId="1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64" fontId="1" fillId="0" borderId="0" xfId="0" applyNumberFormat="1" applyFont="1" applyAlignment="1"/>
    <xf numFmtId="165" fontId="1" fillId="0" borderId="0" xfId="0" applyNumberFormat="1" applyFont="1"/>
    <xf numFmtId="0" fontId="4" fillId="3" borderId="4" xfId="0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8" fillId="4" borderId="4" xfId="0" applyFont="1" applyFill="1" applyBorder="1" applyAlignment="1">
      <alignment horizontal="center"/>
    </xf>
    <xf numFmtId="164" fontId="9" fillId="4" borderId="4" xfId="0" applyNumberFormat="1" applyFont="1" applyFill="1" applyBorder="1" applyAlignment="1"/>
    <xf numFmtId="164" fontId="10" fillId="4" borderId="4" xfId="0" applyNumberFormat="1" applyFont="1" applyFill="1" applyBorder="1"/>
    <xf numFmtId="0" fontId="11" fillId="0" borderId="0" xfId="0" applyFont="1"/>
    <xf numFmtId="0" fontId="8" fillId="6" borderId="4" xfId="0" applyFont="1" applyFill="1" applyBorder="1" applyAlignment="1">
      <alignment horizontal="center"/>
    </xf>
    <xf numFmtId="164" fontId="9" fillId="6" borderId="4" xfId="0" applyNumberFormat="1" applyFont="1" applyFill="1" applyBorder="1" applyAlignment="1"/>
    <xf numFmtId="164" fontId="10" fillId="6" borderId="4" xfId="0" applyNumberFormat="1" applyFont="1" applyFill="1" applyBorder="1"/>
    <xf numFmtId="0" fontId="8" fillId="8" borderId="4" xfId="0" applyFont="1" applyFill="1" applyBorder="1" applyAlignment="1">
      <alignment horizontal="center"/>
    </xf>
    <xf numFmtId="164" fontId="9" fillId="8" borderId="4" xfId="0" applyNumberFormat="1" applyFont="1" applyFill="1" applyBorder="1" applyAlignment="1"/>
    <xf numFmtId="164" fontId="10" fillId="8" borderId="4" xfId="0" applyNumberFormat="1" applyFont="1" applyFill="1" applyBorder="1"/>
    <xf numFmtId="164" fontId="5" fillId="0" borderId="4" xfId="0" applyNumberFormat="1" applyFont="1" applyBorder="1" applyAlignment="1"/>
    <xf numFmtId="0" fontId="8" fillId="10" borderId="4" xfId="0" applyFont="1" applyFill="1" applyBorder="1" applyAlignment="1">
      <alignment horizontal="center"/>
    </xf>
    <xf numFmtId="164" fontId="9" fillId="10" borderId="4" xfId="0" applyNumberFormat="1" applyFont="1" applyFill="1" applyBorder="1" applyAlignment="1"/>
    <xf numFmtId="164" fontId="10" fillId="10" borderId="4" xfId="0" applyNumberFormat="1" applyFont="1" applyFill="1" applyBorder="1"/>
    <xf numFmtId="0" fontId="13" fillId="0" borderId="0" xfId="0" applyFont="1"/>
    <xf numFmtId="0" fontId="13" fillId="0" borderId="0" xfId="0" applyFont="1" applyAlignment="1"/>
    <xf numFmtId="165" fontId="15" fillId="11" borderId="0" xfId="0" applyNumberFormat="1" applyFont="1" applyFill="1" applyAlignment="1">
      <alignment horizontal="center"/>
    </xf>
    <xf numFmtId="165" fontId="15" fillId="11" borderId="0" xfId="0" applyNumberFormat="1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5" fontId="1" fillId="12" borderId="0" xfId="0" applyNumberFormat="1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13" borderId="0" xfId="0" applyNumberFormat="1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2" borderId="1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0" fontId="1" fillId="5" borderId="1" xfId="0" applyFont="1" applyFill="1" applyBorder="1" applyAlignment="1">
      <alignment horizontal="center"/>
    </xf>
    <xf numFmtId="0" fontId="3" fillId="5" borderId="2" xfId="0" applyFont="1" applyFill="1" applyBorder="1"/>
    <xf numFmtId="0" fontId="3" fillId="5" borderId="3" xfId="0" applyFont="1" applyFill="1" applyBorder="1"/>
    <xf numFmtId="0" fontId="1" fillId="7" borderId="1" xfId="0" applyFont="1" applyFill="1" applyBorder="1" applyAlignment="1">
      <alignment horizontal="center"/>
    </xf>
    <xf numFmtId="0" fontId="3" fillId="7" borderId="2" xfId="0" applyFont="1" applyFill="1" applyBorder="1"/>
    <xf numFmtId="0" fontId="3" fillId="7" borderId="3" xfId="0" applyFont="1" applyFill="1" applyBorder="1"/>
    <xf numFmtId="0" fontId="1" fillId="9" borderId="1" xfId="0" applyFont="1" applyFill="1" applyBorder="1" applyAlignment="1">
      <alignment horizontal="center"/>
    </xf>
    <xf numFmtId="0" fontId="3" fillId="9" borderId="2" xfId="0" applyFont="1" applyFill="1" applyBorder="1"/>
    <xf numFmtId="0" fontId="3" fillId="9" borderId="3" xfId="0" applyFont="1" applyFill="1" applyBorder="1"/>
    <xf numFmtId="0" fontId="12" fillId="9" borderId="1" xfId="0" applyFont="1" applyFill="1" applyBorder="1" applyAlignment="1">
      <alignment horizontal="center"/>
    </xf>
    <xf numFmtId="165" fontId="14" fillId="3" borderId="0" xfId="0" applyNumberFormat="1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18"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</dxfs>
  <tableStyles count="6">
    <tableStyle name="Junho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Junho-style 2" pivot="0" count="3" xr9:uid="{00000000-0011-0000-FFFF-FFFF01000000}">
      <tableStyleElement type="headerRow" dxfId="14"/>
      <tableStyleElement type="firstRowStripe" dxfId="13"/>
      <tableStyleElement type="secondRowStripe" dxfId="12"/>
    </tableStyle>
    <tableStyle name="Junho-style 3" pivot="0" count="3" xr9:uid="{00000000-0011-0000-FFFF-FFFF02000000}">
      <tableStyleElement type="headerRow" dxfId="11"/>
      <tableStyleElement type="firstRowStripe" dxfId="10"/>
      <tableStyleElement type="secondRowStripe" dxfId="9"/>
    </tableStyle>
    <tableStyle name="Junho-style 4" pivot="0" count="3" xr9:uid="{00000000-0011-0000-FFFF-FFFF03000000}">
      <tableStyleElement type="headerRow" dxfId="8"/>
      <tableStyleElement type="firstRowStripe" dxfId="7"/>
      <tableStyleElement type="secondRowStripe" dxfId="6"/>
    </tableStyle>
    <tableStyle name="Junho-style 5" pivot="0" count="3" xr9:uid="{00000000-0011-0000-FFFF-FFFF04000000}">
      <tableStyleElement type="headerRow" dxfId="5"/>
      <tableStyleElement type="firstRowStripe" dxfId="4"/>
      <tableStyleElement type="secondRowStripe" dxfId="3"/>
    </tableStyle>
    <tableStyle name="Junho-style 6" pivot="0" count="3" xr9:uid="{00000000-0011-0000-FFFF-FFFF05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B61">
  <tableColumns count="2">
    <tableColumn id="1" xr3:uid="{00000000-0010-0000-0000-000001000000}" name="Faturamento"/>
    <tableColumn id="2" xr3:uid="{00000000-0010-0000-0000-000002000000}" name="Valor  a Receber"/>
  </tableColumns>
  <tableStyleInfo name="Junh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D2:E61">
  <tableColumns count="2">
    <tableColumn id="1" xr3:uid="{00000000-0010-0000-0100-000001000000}" name="Faturamento"/>
    <tableColumn id="2" xr3:uid="{00000000-0010-0000-0100-000002000000}" name="Valor  a Receber"/>
  </tableColumns>
  <tableStyleInfo name="Junho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G2:H61">
  <tableColumns count="2">
    <tableColumn id="1" xr3:uid="{00000000-0010-0000-0200-000001000000}" name="Faturamento"/>
    <tableColumn id="2" xr3:uid="{00000000-0010-0000-0200-000002000000}" name="Valor  a Receber"/>
  </tableColumns>
  <tableStyleInfo name="Junho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2:K61">
  <tableColumns count="2">
    <tableColumn id="1" xr3:uid="{00000000-0010-0000-0300-000001000000}" name="Faturamento"/>
    <tableColumn id="2" xr3:uid="{00000000-0010-0000-0300-000002000000}" name="Valor  a Receber"/>
  </tableColumns>
  <tableStyleInfo name="Junho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M65:N106">
  <tableColumns count="2">
    <tableColumn id="1" xr3:uid="{00000000-0010-0000-0400-000001000000}" name="Faturamento"/>
    <tableColumn id="2" xr3:uid="{00000000-0010-0000-0400-000002000000}" name="Valor  a Receber"/>
  </tableColumns>
  <tableStyleInfo name="Junho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M110:N151">
  <tableColumns count="2">
    <tableColumn id="1" xr3:uid="{00000000-0010-0000-0500-000001000000}" name="Faturamento"/>
    <tableColumn id="2" xr3:uid="{00000000-0010-0000-0500-000002000000}" name="Valor  a Receber"/>
  </tableColumns>
  <tableStyleInfo name="Junho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pagar.me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2" max="2" width="17.42578125" customWidth="1"/>
    <col min="3" max="3" width="13.42578125" customWidth="1"/>
    <col min="4" max="4" width="13.5703125" customWidth="1"/>
  </cols>
  <sheetData>
    <row r="1" spans="1:26" x14ac:dyDescent="0.2">
      <c r="A1" s="1"/>
      <c r="B1" s="2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91" t="s">
        <v>0</v>
      </c>
      <c r="B2" s="92"/>
      <c r="C2" s="92"/>
      <c r="D2" s="92"/>
      <c r="E2" s="9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5" t="s">
        <v>1</v>
      </c>
      <c r="B3" s="6" t="s">
        <v>2</v>
      </c>
      <c r="C3" s="7" t="s">
        <v>3</v>
      </c>
      <c r="D3" s="7" t="s">
        <v>4</v>
      </c>
      <c r="E3" s="6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8" t="s">
        <v>6</v>
      </c>
      <c r="B4" s="9" t="s">
        <v>7</v>
      </c>
      <c r="C4" s="10">
        <v>1000</v>
      </c>
      <c r="D4" s="10">
        <v>7900</v>
      </c>
      <c r="E4" s="11">
        <f t="shared" ref="E4:E9" si="0">C4+D4</f>
        <v>8900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2">
      <c r="A5" s="8" t="s">
        <v>8</v>
      </c>
      <c r="B5" s="9" t="s">
        <v>9</v>
      </c>
      <c r="C5" s="10">
        <v>1300</v>
      </c>
      <c r="D5" s="10">
        <v>8500</v>
      </c>
      <c r="E5" s="11">
        <f t="shared" si="0"/>
        <v>9800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x14ac:dyDescent="0.2">
      <c r="A6" s="8" t="s">
        <v>10</v>
      </c>
      <c r="B6" s="9" t="s">
        <v>11</v>
      </c>
      <c r="C6" s="10">
        <v>1600</v>
      </c>
      <c r="D6" s="10">
        <v>9100</v>
      </c>
      <c r="E6" s="11">
        <f t="shared" si="0"/>
        <v>10700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x14ac:dyDescent="0.2">
      <c r="A7" s="8" t="s">
        <v>12</v>
      </c>
      <c r="B7" s="9" t="s">
        <v>13</v>
      </c>
      <c r="C7" s="10">
        <v>1900</v>
      </c>
      <c r="D7" s="10">
        <v>9700</v>
      </c>
      <c r="E7" s="11">
        <f t="shared" si="0"/>
        <v>11600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2">
      <c r="A8" s="8" t="s">
        <v>14</v>
      </c>
      <c r="B8" s="9" t="s">
        <v>15</v>
      </c>
      <c r="C8" s="10">
        <v>2100</v>
      </c>
      <c r="D8" s="10">
        <v>10300</v>
      </c>
      <c r="E8" s="11">
        <f t="shared" si="0"/>
        <v>12400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x14ac:dyDescent="0.2">
      <c r="A9" s="8" t="s">
        <v>16</v>
      </c>
      <c r="B9" s="9" t="s">
        <v>17</v>
      </c>
      <c r="C9" s="10">
        <v>2400</v>
      </c>
      <c r="D9" s="10">
        <v>10900</v>
      </c>
      <c r="E9" s="11">
        <f t="shared" si="0"/>
        <v>13300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2">
      <c r="A10" s="1"/>
      <c r="B10" s="2"/>
      <c r="C10" s="3"/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1"/>
      <c r="B11" s="2"/>
      <c r="C11" s="3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91" t="s">
        <v>18</v>
      </c>
      <c r="B12" s="92"/>
      <c r="C12" s="92"/>
      <c r="D12" s="92"/>
      <c r="E12" s="9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5" t="s">
        <v>1</v>
      </c>
      <c r="B13" s="6" t="s">
        <v>2</v>
      </c>
      <c r="C13" s="7" t="s">
        <v>3</v>
      </c>
      <c r="D13" s="7" t="s">
        <v>4</v>
      </c>
      <c r="E13" s="6" t="s">
        <v>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8" t="s">
        <v>6</v>
      </c>
      <c r="B14" s="9" t="s">
        <v>7</v>
      </c>
      <c r="C14" s="10">
        <v>800</v>
      </c>
      <c r="D14" s="10">
        <v>5350</v>
      </c>
      <c r="E14" s="11">
        <f t="shared" ref="E14:E19" si="1">C14+D14</f>
        <v>6150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8" t="s">
        <v>8</v>
      </c>
      <c r="B15" s="9" t="s">
        <v>9</v>
      </c>
      <c r="C15" s="10">
        <v>1100</v>
      </c>
      <c r="D15" s="10">
        <v>5750</v>
      </c>
      <c r="E15" s="11">
        <f t="shared" si="1"/>
        <v>6850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8" t="s">
        <v>10</v>
      </c>
      <c r="B16" s="9" t="s">
        <v>11</v>
      </c>
      <c r="C16" s="10">
        <v>1400</v>
      </c>
      <c r="D16" s="10">
        <v>6150</v>
      </c>
      <c r="E16" s="11">
        <f t="shared" si="1"/>
        <v>7550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8" t="s">
        <v>12</v>
      </c>
      <c r="B17" s="9" t="s">
        <v>13</v>
      </c>
      <c r="C17" s="10">
        <v>1700</v>
      </c>
      <c r="D17" s="10">
        <v>6550</v>
      </c>
      <c r="E17" s="11">
        <f t="shared" si="1"/>
        <v>8250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8" t="s">
        <v>14</v>
      </c>
      <c r="B18" s="9" t="s">
        <v>15</v>
      </c>
      <c r="C18" s="10">
        <v>2000</v>
      </c>
      <c r="D18" s="10">
        <v>6950</v>
      </c>
      <c r="E18" s="11">
        <f t="shared" si="1"/>
        <v>8950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8" t="s">
        <v>16</v>
      </c>
      <c r="B19" s="9" t="s">
        <v>17</v>
      </c>
      <c r="C19" s="10">
        <v>2650</v>
      </c>
      <c r="D19" s="10">
        <v>7350</v>
      </c>
      <c r="E19" s="11">
        <f t="shared" si="1"/>
        <v>10000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1"/>
      <c r="B20" s="2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91" t="s">
        <v>19</v>
      </c>
      <c r="B21" s="92"/>
      <c r="C21" s="92"/>
      <c r="D21" s="92"/>
      <c r="E21" s="9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5" t="s">
        <v>1</v>
      </c>
      <c r="B22" s="6" t="s">
        <v>2</v>
      </c>
      <c r="C22" s="7" t="s">
        <v>20</v>
      </c>
      <c r="D22" s="7" t="s">
        <v>4</v>
      </c>
      <c r="E22" s="6" t="s">
        <v>5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8" t="s">
        <v>6</v>
      </c>
      <c r="B23" s="9" t="s">
        <v>7</v>
      </c>
      <c r="C23" s="10">
        <v>800</v>
      </c>
      <c r="D23" s="10">
        <v>5400</v>
      </c>
      <c r="E23" s="11">
        <f t="shared" ref="E23:E28" si="2">C23+D23</f>
        <v>6200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8" t="s">
        <v>8</v>
      </c>
      <c r="B24" s="9" t="s">
        <v>9</v>
      </c>
      <c r="C24" s="10">
        <v>1100</v>
      </c>
      <c r="D24" s="10">
        <v>5800</v>
      </c>
      <c r="E24" s="11">
        <f t="shared" si="2"/>
        <v>6900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8" t="s">
        <v>10</v>
      </c>
      <c r="B25" s="9" t="s">
        <v>11</v>
      </c>
      <c r="C25" s="10">
        <v>1400</v>
      </c>
      <c r="D25" s="10">
        <v>6200</v>
      </c>
      <c r="E25" s="11">
        <f t="shared" si="2"/>
        <v>7600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8" t="s">
        <v>12</v>
      </c>
      <c r="B26" s="9" t="s">
        <v>13</v>
      </c>
      <c r="C26" s="10">
        <v>1700</v>
      </c>
      <c r="D26" s="10">
        <v>6600</v>
      </c>
      <c r="E26" s="11">
        <f t="shared" si="2"/>
        <v>8300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8" t="s">
        <v>14</v>
      </c>
      <c r="B27" s="9" t="s">
        <v>15</v>
      </c>
      <c r="C27" s="10">
        <v>2000</v>
      </c>
      <c r="D27" s="10">
        <v>7000</v>
      </c>
      <c r="E27" s="11">
        <f t="shared" si="2"/>
        <v>9000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8" t="s">
        <v>16</v>
      </c>
      <c r="B28" s="9" t="s">
        <v>17</v>
      </c>
      <c r="C28" s="10">
        <v>2600</v>
      </c>
      <c r="D28" s="10">
        <v>7400</v>
      </c>
      <c r="E28" s="11">
        <f t="shared" si="2"/>
        <v>10000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1"/>
      <c r="B29" s="2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91" t="s">
        <v>21</v>
      </c>
      <c r="B30" s="92"/>
      <c r="C30" s="92"/>
      <c r="D30" s="92"/>
      <c r="E30" s="9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5" t="s">
        <v>1</v>
      </c>
      <c r="B31" s="6" t="s">
        <v>2</v>
      </c>
      <c r="C31" s="7" t="s">
        <v>20</v>
      </c>
      <c r="D31" s="7" t="s">
        <v>4</v>
      </c>
      <c r="E31" s="6" t="s">
        <v>5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8" t="s">
        <v>6</v>
      </c>
      <c r="B32" s="9" t="s">
        <v>7</v>
      </c>
      <c r="C32" s="10">
        <v>200</v>
      </c>
      <c r="D32" s="10">
        <v>3200</v>
      </c>
      <c r="E32" s="11">
        <f t="shared" ref="E32:E37" si="3">C32+D32</f>
        <v>3400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8" t="s">
        <v>8</v>
      </c>
      <c r="B33" s="9" t="s">
        <v>9</v>
      </c>
      <c r="C33" s="10">
        <v>400</v>
      </c>
      <c r="D33" s="10">
        <v>3400</v>
      </c>
      <c r="E33" s="11">
        <f t="shared" si="3"/>
        <v>3800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8" t="s">
        <v>10</v>
      </c>
      <c r="B34" s="9" t="s">
        <v>11</v>
      </c>
      <c r="C34" s="10">
        <v>600</v>
      </c>
      <c r="D34" s="10">
        <v>3600</v>
      </c>
      <c r="E34" s="11">
        <f t="shared" si="3"/>
        <v>4200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8" t="s">
        <v>12</v>
      </c>
      <c r="B35" s="9" t="s">
        <v>13</v>
      </c>
      <c r="C35" s="10">
        <v>800</v>
      </c>
      <c r="D35" s="10">
        <v>3800</v>
      </c>
      <c r="E35" s="11">
        <f t="shared" si="3"/>
        <v>4600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8" t="s">
        <v>14</v>
      </c>
      <c r="B36" s="9" t="s">
        <v>15</v>
      </c>
      <c r="C36" s="10">
        <v>1000</v>
      </c>
      <c r="D36" s="10">
        <v>4000</v>
      </c>
      <c r="E36" s="11">
        <f t="shared" si="3"/>
        <v>5000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8" t="s">
        <v>16</v>
      </c>
      <c r="B37" s="9" t="s">
        <v>17</v>
      </c>
      <c r="C37" s="10">
        <v>1200</v>
      </c>
      <c r="D37" s="10">
        <v>4200</v>
      </c>
      <c r="E37" s="11">
        <f t="shared" si="3"/>
        <v>5400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1"/>
      <c r="B38" s="2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1"/>
      <c r="B39" s="2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1"/>
      <c r="B40" s="2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1"/>
      <c r="B41" s="2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1"/>
      <c r="B42" s="2"/>
      <c r="C42" s="3"/>
      <c r="D42" s="3"/>
      <c r="E42" s="1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1"/>
      <c r="B43" s="2"/>
      <c r="C43" s="3"/>
      <c r="D43" s="3"/>
      <c r="E43" s="1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1"/>
      <c r="B44" s="2"/>
      <c r="C44" s="3"/>
      <c r="D44" s="3"/>
      <c r="E44" s="1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1"/>
      <c r="B45" s="2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1"/>
      <c r="B46" s="2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1"/>
      <c r="B47" s="2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1"/>
      <c r="B48" s="2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1"/>
      <c r="B49" s="2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1"/>
      <c r="B50" s="2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1"/>
      <c r="B51" s="2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1"/>
      <c r="B52" s="2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1"/>
      <c r="B53" s="2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1"/>
      <c r="B54" s="2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1"/>
      <c r="B55" s="2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1"/>
      <c r="B56" s="2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1"/>
      <c r="B57" s="2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1"/>
      <c r="B58" s="2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1"/>
      <c r="B59" s="2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1"/>
      <c r="B60" s="2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1"/>
      <c r="B61" s="2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1"/>
      <c r="B62" s="2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1"/>
      <c r="B63" s="2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1"/>
      <c r="B64" s="2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1"/>
      <c r="B65" s="2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1"/>
      <c r="B66" s="2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1"/>
      <c r="B67" s="2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1"/>
      <c r="B68" s="2"/>
      <c r="C68" s="3"/>
      <c r="D68" s="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1"/>
      <c r="B69" s="2"/>
      <c r="C69" s="3"/>
      <c r="D69" s="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1"/>
      <c r="B70" s="2"/>
      <c r="C70" s="3"/>
      <c r="D70" s="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1"/>
      <c r="B71" s="2"/>
      <c r="C71" s="3"/>
      <c r="D71" s="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1"/>
      <c r="B72" s="2"/>
      <c r="C72" s="3"/>
      <c r="D72" s="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1"/>
      <c r="B73" s="2"/>
      <c r="C73" s="3"/>
      <c r="D73" s="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1"/>
      <c r="B74" s="2"/>
      <c r="C74" s="3"/>
      <c r="D74" s="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1"/>
      <c r="B75" s="2"/>
      <c r="C75" s="3"/>
      <c r="D75" s="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1"/>
      <c r="B76" s="2"/>
      <c r="C76" s="3"/>
      <c r="D76" s="3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1"/>
      <c r="B77" s="2"/>
      <c r="C77" s="3"/>
      <c r="D77" s="3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1"/>
      <c r="B78" s="2"/>
      <c r="C78" s="3"/>
      <c r="D78" s="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1"/>
      <c r="B79" s="2"/>
      <c r="C79" s="3"/>
      <c r="D79" s="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1"/>
      <c r="B80" s="2"/>
      <c r="C80" s="3"/>
      <c r="D80" s="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1"/>
      <c r="B81" s="2"/>
      <c r="C81" s="3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1"/>
      <c r="B82" s="2"/>
      <c r="C82" s="3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1"/>
      <c r="B83" s="2"/>
      <c r="C83" s="3"/>
      <c r="D83" s="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1"/>
      <c r="B84" s="2"/>
      <c r="C84" s="3"/>
      <c r="D84" s="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1"/>
      <c r="B85" s="2"/>
      <c r="C85" s="3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1"/>
      <c r="B86" s="2"/>
      <c r="C86" s="3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1"/>
      <c r="B87" s="2"/>
      <c r="C87" s="3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1"/>
      <c r="B88" s="2"/>
      <c r="C88" s="3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1"/>
      <c r="B89" s="2"/>
      <c r="C89" s="3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1"/>
      <c r="B90" s="2"/>
      <c r="C90" s="3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1"/>
      <c r="B91" s="2"/>
      <c r="C91" s="3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1"/>
      <c r="B92" s="2"/>
      <c r="C92" s="3"/>
      <c r="D92" s="3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1"/>
      <c r="B93" s="2"/>
      <c r="C93" s="3"/>
      <c r="D93" s="3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1"/>
      <c r="B94" s="2"/>
      <c r="C94" s="3"/>
      <c r="D94" s="3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1"/>
      <c r="B95" s="2"/>
      <c r="C95" s="3"/>
      <c r="D95" s="3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1"/>
      <c r="B96" s="2"/>
      <c r="C96" s="3"/>
      <c r="D96" s="3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1"/>
      <c r="B97" s="2"/>
      <c r="C97" s="3"/>
      <c r="D97" s="3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1"/>
      <c r="B98" s="2"/>
      <c r="C98" s="3"/>
      <c r="D98" s="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1"/>
      <c r="B99" s="2"/>
      <c r="C99" s="3"/>
      <c r="D99" s="3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1"/>
      <c r="B100" s="2"/>
      <c r="C100" s="3"/>
      <c r="D100" s="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1"/>
      <c r="B101" s="2"/>
      <c r="C101" s="3"/>
      <c r="D101" s="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1"/>
      <c r="B102" s="2"/>
      <c r="C102" s="3"/>
      <c r="D102" s="3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1"/>
      <c r="B103" s="2"/>
      <c r="C103" s="3"/>
      <c r="D103" s="3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1"/>
      <c r="B104" s="2"/>
      <c r="C104" s="3"/>
      <c r="D104" s="3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1"/>
      <c r="B105" s="2"/>
      <c r="C105" s="3"/>
      <c r="D105" s="3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1"/>
      <c r="B106" s="2"/>
      <c r="C106" s="3"/>
      <c r="D106" s="3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1"/>
      <c r="B107" s="2"/>
      <c r="C107" s="3"/>
      <c r="D107" s="3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1"/>
      <c r="B108" s="2"/>
      <c r="C108" s="3"/>
      <c r="D108" s="3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1"/>
      <c r="B109" s="2"/>
      <c r="C109" s="3"/>
      <c r="D109" s="3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1"/>
      <c r="B110" s="2"/>
      <c r="C110" s="3"/>
      <c r="D110" s="3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1"/>
      <c r="B111" s="2"/>
      <c r="C111" s="3"/>
      <c r="D111" s="3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1"/>
      <c r="B112" s="2"/>
      <c r="C112" s="3"/>
      <c r="D112" s="3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1"/>
      <c r="B113" s="2"/>
      <c r="C113" s="3"/>
      <c r="D113" s="3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1"/>
      <c r="B114" s="2"/>
      <c r="C114" s="3"/>
      <c r="D114" s="3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1"/>
      <c r="B115" s="2"/>
      <c r="C115" s="3"/>
      <c r="D115" s="3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1"/>
      <c r="B116" s="2"/>
      <c r="C116" s="3"/>
      <c r="D116" s="3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1"/>
      <c r="B117" s="2"/>
      <c r="C117" s="3"/>
      <c r="D117" s="3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1"/>
      <c r="B118" s="2"/>
      <c r="C118" s="3"/>
      <c r="D118" s="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1"/>
      <c r="B119" s="2"/>
      <c r="C119" s="3"/>
      <c r="D119" s="3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1"/>
      <c r="B120" s="2"/>
      <c r="C120" s="3"/>
      <c r="D120" s="3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1"/>
      <c r="B121" s="2"/>
      <c r="C121" s="3"/>
      <c r="D121" s="3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1"/>
      <c r="B122" s="2"/>
      <c r="C122" s="3"/>
      <c r="D122" s="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1"/>
      <c r="B123" s="2"/>
      <c r="C123" s="3"/>
      <c r="D123" s="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1"/>
      <c r="B124" s="2"/>
      <c r="C124" s="3"/>
      <c r="D124" s="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1"/>
      <c r="B125" s="2"/>
      <c r="C125" s="3"/>
      <c r="D125" s="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1"/>
      <c r="B126" s="2"/>
      <c r="C126" s="3"/>
      <c r="D126" s="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1"/>
      <c r="B127" s="2"/>
      <c r="C127" s="3"/>
      <c r="D127" s="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1"/>
      <c r="B128" s="2"/>
      <c r="C128" s="3"/>
      <c r="D128" s="3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1"/>
      <c r="B129" s="2"/>
      <c r="C129" s="3"/>
      <c r="D129" s="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1"/>
      <c r="B130" s="2"/>
      <c r="C130" s="3"/>
      <c r="D130" s="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1"/>
      <c r="B131" s="2"/>
      <c r="C131" s="3"/>
      <c r="D131" s="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1"/>
      <c r="B132" s="2"/>
      <c r="C132" s="3"/>
      <c r="D132" s="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1"/>
      <c r="B133" s="2"/>
      <c r="C133" s="3"/>
      <c r="D133" s="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1"/>
      <c r="B134" s="2"/>
      <c r="C134" s="3"/>
      <c r="D134" s="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1"/>
      <c r="B135" s="2"/>
      <c r="C135" s="3"/>
      <c r="D135" s="3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1"/>
      <c r="B136" s="2"/>
      <c r="C136" s="3"/>
      <c r="D136" s="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1"/>
      <c r="B137" s="2"/>
      <c r="C137" s="3"/>
      <c r="D137" s="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1"/>
      <c r="B138" s="2"/>
      <c r="C138" s="3"/>
      <c r="D138" s="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1"/>
      <c r="B139" s="2"/>
      <c r="C139" s="3"/>
      <c r="D139" s="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1"/>
      <c r="B140" s="2"/>
      <c r="C140" s="3"/>
      <c r="D140" s="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1"/>
      <c r="B141" s="2"/>
      <c r="C141" s="3"/>
      <c r="D141" s="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1"/>
      <c r="B142" s="2"/>
      <c r="C142" s="3"/>
      <c r="D142" s="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1"/>
      <c r="B143" s="2"/>
      <c r="C143" s="3"/>
      <c r="D143" s="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1"/>
      <c r="B144" s="2"/>
      <c r="C144" s="3"/>
      <c r="D144" s="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1"/>
      <c r="B145" s="2"/>
      <c r="C145" s="3"/>
      <c r="D145" s="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1"/>
      <c r="B146" s="2"/>
      <c r="C146" s="3"/>
      <c r="D146" s="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1"/>
      <c r="B147" s="2"/>
      <c r="C147" s="3"/>
      <c r="D147" s="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1"/>
      <c r="B148" s="2"/>
      <c r="C148" s="3"/>
      <c r="D148" s="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1"/>
      <c r="B149" s="2"/>
      <c r="C149" s="3"/>
      <c r="D149" s="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1"/>
      <c r="B150" s="2"/>
      <c r="C150" s="3"/>
      <c r="D150" s="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1"/>
      <c r="B151" s="2"/>
      <c r="C151" s="3"/>
      <c r="D151" s="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1"/>
      <c r="B152" s="2"/>
      <c r="C152" s="3"/>
      <c r="D152" s="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1"/>
      <c r="B153" s="2"/>
      <c r="C153" s="3"/>
      <c r="D153" s="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1"/>
      <c r="B154" s="2"/>
      <c r="C154" s="3"/>
      <c r="D154" s="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1"/>
      <c r="B155" s="2"/>
      <c r="C155" s="3"/>
      <c r="D155" s="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1"/>
      <c r="B156" s="2"/>
      <c r="C156" s="3"/>
      <c r="D156" s="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1"/>
      <c r="B157" s="2"/>
      <c r="C157" s="3"/>
      <c r="D157" s="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1"/>
      <c r="B158" s="2"/>
      <c r="C158" s="3"/>
      <c r="D158" s="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1"/>
      <c r="B159" s="2"/>
      <c r="C159" s="3"/>
      <c r="D159" s="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1"/>
      <c r="B160" s="2"/>
      <c r="C160" s="3"/>
      <c r="D160" s="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1"/>
      <c r="B161" s="2"/>
      <c r="C161" s="3"/>
      <c r="D161" s="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1"/>
      <c r="B162" s="2"/>
      <c r="C162" s="3"/>
      <c r="D162" s="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1"/>
      <c r="B163" s="2"/>
      <c r="C163" s="3"/>
      <c r="D163" s="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1"/>
      <c r="B164" s="2"/>
      <c r="C164" s="3"/>
      <c r="D164" s="3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1"/>
      <c r="B165" s="2"/>
      <c r="C165" s="3"/>
      <c r="D165" s="3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1"/>
      <c r="B166" s="2"/>
      <c r="C166" s="3"/>
      <c r="D166" s="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1"/>
      <c r="B167" s="2"/>
      <c r="C167" s="3"/>
      <c r="D167" s="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1"/>
      <c r="B168" s="2"/>
      <c r="C168" s="3"/>
      <c r="D168" s="3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1"/>
      <c r="B169" s="2"/>
      <c r="C169" s="3"/>
      <c r="D169" s="3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1"/>
      <c r="B170" s="2"/>
      <c r="C170" s="3"/>
      <c r="D170" s="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1"/>
      <c r="B171" s="2"/>
      <c r="C171" s="3"/>
      <c r="D171" s="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1"/>
      <c r="B172" s="2"/>
      <c r="C172" s="3"/>
      <c r="D172" s="3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1"/>
      <c r="B173" s="2"/>
      <c r="C173" s="3"/>
      <c r="D173" s="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1"/>
      <c r="B174" s="2"/>
      <c r="C174" s="3"/>
      <c r="D174" s="3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1"/>
      <c r="B175" s="2"/>
      <c r="C175" s="3"/>
      <c r="D175" s="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1"/>
      <c r="B176" s="2"/>
      <c r="C176" s="3"/>
      <c r="D176" s="3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1"/>
      <c r="B177" s="2"/>
      <c r="C177" s="3"/>
      <c r="D177" s="3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1"/>
      <c r="B178" s="2"/>
      <c r="C178" s="3"/>
      <c r="D178" s="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1"/>
      <c r="B179" s="2"/>
      <c r="C179" s="3"/>
      <c r="D179" s="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1"/>
      <c r="B180" s="2"/>
      <c r="C180" s="3"/>
      <c r="D180" s="3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1"/>
      <c r="B181" s="2"/>
      <c r="C181" s="3"/>
      <c r="D181" s="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1"/>
      <c r="B182" s="2"/>
      <c r="C182" s="3"/>
      <c r="D182" s="3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1"/>
      <c r="B183" s="2"/>
      <c r="C183" s="3"/>
      <c r="D183" s="3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1"/>
      <c r="B184" s="2"/>
      <c r="C184" s="3"/>
      <c r="D184" s="3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1"/>
      <c r="B185" s="2"/>
      <c r="C185" s="3"/>
      <c r="D185" s="3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1"/>
      <c r="B186" s="2"/>
      <c r="C186" s="3"/>
      <c r="D186" s="3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1"/>
      <c r="B187" s="2"/>
      <c r="C187" s="3"/>
      <c r="D187" s="3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1"/>
      <c r="B188" s="2"/>
      <c r="C188" s="3"/>
      <c r="D188" s="3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1"/>
      <c r="B189" s="2"/>
      <c r="C189" s="3"/>
      <c r="D189" s="3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1"/>
      <c r="B190" s="2"/>
      <c r="C190" s="3"/>
      <c r="D190" s="3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1"/>
      <c r="B191" s="2"/>
      <c r="C191" s="3"/>
      <c r="D191" s="3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1"/>
      <c r="B192" s="2"/>
      <c r="C192" s="3"/>
      <c r="D192" s="3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1"/>
      <c r="B193" s="2"/>
      <c r="C193" s="3"/>
      <c r="D193" s="3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1"/>
      <c r="B194" s="2"/>
      <c r="C194" s="3"/>
      <c r="D194" s="3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1"/>
      <c r="B195" s="2"/>
      <c r="C195" s="3"/>
      <c r="D195" s="3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1"/>
      <c r="B196" s="2"/>
      <c r="C196" s="3"/>
      <c r="D196" s="3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1"/>
      <c r="B197" s="2"/>
      <c r="C197" s="3"/>
      <c r="D197" s="3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1"/>
      <c r="B198" s="2"/>
      <c r="C198" s="3"/>
      <c r="D198" s="3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1"/>
      <c r="B199" s="2"/>
      <c r="C199" s="3"/>
      <c r="D199" s="3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1"/>
      <c r="B200" s="2"/>
      <c r="C200" s="3"/>
      <c r="D200" s="3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1"/>
      <c r="B201" s="2"/>
      <c r="C201" s="3"/>
      <c r="D201" s="3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1"/>
      <c r="B202" s="2"/>
      <c r="C202" s="3"/>
      <c r="D202" s="3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1"/>
      <c r="B203" s="2"/>
      <c r="C203" s="3"/>
      <c r="D203" s="3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1"/>
      <c r="B204" s="2"/>
      <c r="C204" s="3"/>
      <c r="D204" s="3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1"/>
      <c r="B205" s="2"/>
      <c r="C205" s="3"/>
      <c r="D205" s="3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1"/>
      <c r="B206" s="2"/>
      <c r="C206" s="3"/>
      <c r="D206" s="3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1"/>
      <c r="B207" s="2"/>
      <c r="C207" s="3"/>
      <c r="D207" s="3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1"/>
      <c r="B208" s="2"/>
      <c r="C208" s="3"/>
      <c r="D208" s="3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1"/>
      <c r="B209" s="2"/>
      <c r="C209" s="3"/>
      <c r="D209" s="3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1"/>
      <c r="B210" s="2"/>
      <c r="C210" s="3"/>
      <c r="D210" s="3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1"/>
      <c r="B211" s="2"/>
      <c r="C211" s="3"/>
      <c r="D211" s="3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1"/>
      <c r="B212" s="2"/>
      <c r="C212" s="3"/>
      <c r="D212" s="3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1"/>
      <c r="B213" s="2"/>
      <c r="C213" s="3"/>
      <c r="D213" s="3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1"/>
      <c r="B214" s="2"/>
      <c r="C214" s="3"/>
      <c r="D214" s="3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1"/>
      <c r="B215" s="2"/>
      <c r="C215" s="3"/>
      <c r="D215" s="3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1"/>
      <c r="B216" s="2"/>
      <c r="C216" s="3"/>
      <c r="D216" s="3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1"/>
      <c r="B217" s="2"/>
      <c r="C217" s="3"/>
      <c r="D217" s="3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1"/>
      <c r="B218" s="2"/>
      <c r="C218" s="3"/>
      <c r="D218" s="3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1"/>
      <c r="B219" s="2"/>
      <c r="C219" s="3"/>
      <c r="D219" s="3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1"/>
      <c r="B220" s="2"/>
      <c r="C220" s="3"/>
      <c r="D220" s="3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1"/>
      <c r="B221" s="2"/>
      <c r="C221" s="3"/>
      <c r="D221" s="3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1"/>
      <c r="B222" s="2"/>
      <c r="C222" s="3"/>
      <c r="D222" s="3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1"/>
      <c r="B223" s="2"/>
      <c r="C223" s="3"/>
      <c r="D223" s="3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1"/>
      <c r="B224" s="2"/>
      <c r="C224" s="3"/>
      <c r="D224" s="3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1"/>
      <c r="B225" s="2"/>
      <c r="C225" s="3"/>
      <c r="D225" s="3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1"/>
      <c r="B226" s="2"/>
      <c r="C226" s="3"/>
      <c r="D226" s="3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1"/>
      <c r="B227" s="2"/>
      <c r="C227" s="3"/>
      <c r="D227" s="3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1"/>
      <c r="B228" s="2"/>
      <c r="C228" s="3"/>
      <c r="D228" s="3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1"/>
      <c r="B229" s="2"/>
      <c r="C229" s="3"/>
      <c r="D229" s="3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1"/>
      <c r="B230" s="2"/>
      <c r="C230" s="3"/>
      <c r="D230" s="3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1"/>
      <c r="B231" s="2"/>
      <c r="C231" s="3"/>
      <c r="D231" s="3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1"/>
      <c r="B232" s="2"/>
      <c r="C232" s="3"/>
      <c r="D232" s="3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1"/>
      <c r="B233" s="2"/>
      <c r="C233" s="3"/>
      <c r="D233" s="3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1"/>
      <c r="B234" s="2"/>
      <c r="C234" s="3"/>
      <c r="D234" s="3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1"/>
      <c r="B235" s="2"/>
      <c r="C235" s="3"/>
      <c r="D235" s="3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1"/>
      <c r="B236" s="2"/>
      <c r="C236" s="3"/>
      <c r="D236" s="3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1"/>
      <c r="B237" s="2"/>
      <c r="C237" s="3"/>
      <c r="D237" s="3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1"/>
      <c r="B238" s="2"/>
      <c r="C238" s="3"/>
      <c r="D238" s="3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1"/>
      <c r="B239" s="2"/>
      <c r="C239" s="3"/>
      <c r="D239" s="3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1"/>
      <c r="B240" s="2"/>
      <c r="C240" s="3"/>
      <c r="D240" s="3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1"/>
      <c r="B241" s="2"/>
      <c r="C241" s="3"/>
      <c r="D241" s="3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1"/>
      <c r="B242" s="2"/>
      <c r="C242" s="3"/>
      <c r="D242" s="3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1"/>
      <c r="B243" s="2"/>
      <c r="C243" s="3"/>
      <c r="D243" s="3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1"/>
      <c r="B244" s="2"/>
      <c r="C244" s="3"/>
      <c r="D244" s="3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1"/>
      <c r="B245" s="2"/>
      <c r="C245" s="3"/>
      <c r="D245" s="3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1"/>
      <c r="B246" s="2"/>
      <c r="C246" s="3"/>
      <c r="D246" s="3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1"/>
      <c r="B247" s="2"/>
      <c r="C247" s="3"/>
      <c r="D247" s="3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1"/>
      <c r="B248" s="2"/>
      <c r="C248" s="3"/>
      <c r="D248" s="3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1"/>
      <c r="B249" s="2"/>
      <c r="C249" s="3"/>
      <c r="D249" s="3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1"/>
      <c r="B250" s="2"/>
      <c r="C250" s="3"/>
      <c r="D250" s="3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1"/>
      <c r="B251" s="2"/>
      <c r="C251" s="3"/>
      <c r="D251" s="3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1"/>
      <c r="B252" s="2"/>
      <c r="C252" s="3"/>
      <c r="D252" s="3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1"/>
      <c r="B253" s="2"/>
      <c r="C253" s="3"/>
      <c r="D253" s="3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1"/>
      <c r="B254" s="2"/>
      <c r="C254" s="3"/>
      <c r="D254" s="3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1"/>
      <c r="B255" s="2"/>
      <c r="C255" s="3"/>
      <c r="D255" s="3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1"/>
      <c r="B256" s="2"/>
      <c r="C256" s="3"/>
      <c r="D256" s="3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1"/>
      <c r="B257" s="2"/>
      <c r="C257" s="3"/>
      <c r="D257" s="3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1"/>
      <c r="B258" s="2"/>
      <c r="C258" s="3"/>
      <c r="D258" s="3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1"/>
      <c r="B259" s="2"/>
      <c r="C259" s="3"/>
      <c r="D259" s="3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1"/>
      <c r="B260" s="2"/>
      <c r="C260" s="3"/>
      <c r="D260" s="3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1"/>
      <c r="B261" s="2"/>
      <c r="C261" s="3"/>
      <c r="D261" s="3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1"/>
      <c r="B262" s="2"/>
      <c r="C262" s="3"/>
      <c r="D262" s="3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1"/>
      <c r="B263" s="2"/>
      <c r="C263" s="3"/>
      <c r="D263" s="3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1"/>
      <c r="B264" s="2"/>
      <c r="C264" s="3"/>
      <c r="D264" s="3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1"/>
      <c r="B265" s="2"/>
      <c r="C265" s="3"/>
      <c r="D265" s="3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1"/>
      <c r="B266" s="2"/>
      <c r="C266" s="3"/>
      <c r="D266" s="3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1"/>
      <c r="B267" s="2"/>
      <c r="C267" s="3"/>
      <c r="D267" s="3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1"/>
      <c r="B268" s="2"/>
      <c r="C268" s="3"/>
      <c r="D268" s="3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1"/>
      <c r="B269" s="2"/>
      <c r="C269" s="3"/>
      <c r="D269" s="3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1"/>
      <c r="B270" s="2"/>
      <c r="C270" s="3"/>
      <c r="D270" s="3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1"/>
      <c r="B271" s="2"/>
      <c r="C271" s="3"/>
      <c r="D271" s="3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1"/>
      <c r="B272" s="2"/>
      <c r="C272" s="3"/>
      <c r="D272" s="3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1"/>
      <c r="B273" s="2"/>
      <c r="C273" s="3"/>
      <c r="D273" s="3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1"/>
      <c r="B274" s="2"/>
      <c r="C274" s="3"/>
      <c r="D274" s="3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1"/>
      <c r="B275" s="2"/>
      <c r="C275" s="3"/>
      <c r="D275" s="3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1"/>
      <c r="B276" s="2"/>
      <c r="C276" s="3"/>
      <c r="D276" s="3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1"/>
      <c r="B277" s="2"/>
      <c r="C277" s="3"/>
      <c r="D277" s="3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1"/>
      <c r="B278" s="2"/>
      <c r="C278" s="3"/>
      <c r="D278" s="3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1"/>
      <c r="B279" s="2"/>
      <c r="C279" s="3"/>
      <c r="D279" s="3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1"/>
      <c r="B280" s="2"/>
      <c r="C280" s="3"/>
      <c r="D280" s="3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1"/>
      <c r="B281" s="2"/>
      <c r="C281" s="3"/>
      <c r="D281" s="3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1"/>
      <c r="B282" s="2"/>
      <c r="C282" s="3"/>
      <c r="D282" s="3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1"/>
      <c r="B283" s="2"/>
      <c r="C283" s="3"/>
      <c r="D283" s="3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1"/>
      <c r="B284" s="2"/>
      <c r="C284" s="3"/>
      <c r="D284" s="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1"/>
      <c r="B285" s="2"/>
      <c r="C285" s="3"/>
      <c r="D285" s="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1"/>
      <c r="B286" s="2"/>
      <c r="C286" s="3"/>
      <c r="D286" s="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1"/>
      <c r="B287" s="2"/>
      <c r="C287" s="3"/>
      <c r="D287" s="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1"/>
      <c r="B288" s="2"/>
      <c r="C288" s="3"/>
      <c r="D288" s="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1"/>
      <c r="B289" s="2"/>
      <c r="C289" s="3"/>
      <c r="D289" s="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1"/>
      <c r="B290" s="2"/>
      <c r="C290" s="3"/>
      <c r="D290" s="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1"/>
      <c r="B291" s="2"/>
      <c r="C291" s="3"/>
      <c r="D291" s="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1"/>
      <c r="B292" s="2"/>
      <c r="C292" s="3"/>
      <c r="D292" s="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1"/>
      <c r="B293" s="2"/>
      <c r="C293" s="3"/>
      <c r="D293" s="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1"/>
      <c r="B294" s="2"/>
      <c r="C294" s="3"/>
      <c r="D294" s="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1"/>
      <c r="B295" s="2"/>
      <c r="C295" s="3"/>
      <c r="D295" s="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1"/>
      <c r="B296" s="2"/>
      <c r="C296" s="3"/>
      <c r="D296" s="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1"/>
      <c r="B297" s="2"/>
      <c r="C297" s="3"/>
      <c r="D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1"/>
      <c r="B298" s="2"/>
      <c r="C298" s="3"/>
      <c r="D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1"/>
      <c r="B299" s="2"/>
      <c r="C299" s="3"/>
      <c r="D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1"/>
      <c r="B300" s="2"/>
      <c r="C300" s="3"/>
      <c r="D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1"/>
      <c r="B301" s="2"/>
      <c r="C301" s="3"/>
      <c r="D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1"/>
      <c r="B302" s="2"/>
      <c r="C302" s="3"/>
      <c r="D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1"/>
      <c r="B303" s="2"/>
      <c r="C303" s="3"/>
      <c r="D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1"/>
      <c r="B304" s="2"/>
      <c r="C304" s="3"/>
      <c r="D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1"/>
      <c r="B305" s="2"/>
      <c r="C305" s="3"/>
      <c r="D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1"/>
      <c r="B306" s="2"/>
      <c r="C306" s="3"/>
      <c r="D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1"/>
      <c r="B307" s="2"/>
      <c r="C307" s="3"/>
      <c r="D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1"/>
      <c r="B308" s="2"/>
      <c r="C308" s="3"/>
      <c r="D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1"/>
      <c r="B309" s="2"/>
      <c r="C309" s="3"/>
      <c r="D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1"/>
      <c r="B310" s="2"/>
      <c r="C310" s="3"/>
      <c r="D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1"/>
      <c r="B311" s="2"/>
      <c r="C311" s="3"/>
      <c r="D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1"/>
      <c r="B312" s="2"/>
      <c r="C312" s="3"/>
      <c r="D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1"/>
      <c r="B313" s="2"/>
      <c r="C313" s="3"/>
      <c r="D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1"/>
      <c r="B314" s="2"/>
      <c r="C314" s="3"/>
      <c r="D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1"/>
      <c r="B315" s="2"/>
      <c r="C315" s="3"/>
      <c r="D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1"/>
      <c r="B316" s="2"/>
      <c r="C316" s="3"/>
      <c r="D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1"/>
      <c r="B317" s="2"/>
      <c r="C317" s="3"/>
      <c r="D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1"/>
      <c r="B318" s="2"/>
      <c r="C318" s="3"/>
      <c r="D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1"/>
      <c r="B319" s="2"/>
      <c r="C319" s="3"/>
      <c r="D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1"/>
      <c r="B320" s="2"/>
      <c r="C320" s="3"/>
      <c r="D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1"/>
      <c r="B321" s="2"/>
      <c r="C321" s="3"/>
      <c r="D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1"/>
      <c r="B322" s="2"/>
      <c r="C322" s="3"/>
      <c r="D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1"/>
      <c r="B323" s="2"/>
      <c r="C323" s="3"/>
      <c r="D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1"/>
      <c r="B324" s="2"/>
      <c r="C324" s="3"/>
      <c r="D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1"/>
      <c r="B325" s="2"/>
      <c r="C325" s="3"/>
      <c r="D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1"/>
      <c r="B326" s="2"/>
      <c r="C326" s="3"/>
      <c r="D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1"/>
      <c r="B327" s="2"/>
      <c r="C327" s="3"/>
      <c r="D327" s="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1"/>
      <c r="B328" s="2"/>
      <c r="C328" s="3"/>
      <c r="D328" s="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1"/>
      <c r="B329" s="2"/>
      <c r="C329" s="3"/>
      <c r="D329" s="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1"/>
      <c r="B330" s="2"/>
      <c r="C330" s="3"/>
      <c r="D330" s="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1"/>
      <c r="B331" s="2"/>
      <c r="C331" s="3"/>
      <c r="D331" s="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1"/>
      <c r="B332" s="2"/>
      <c r="C332" s="3"/>
      <c r="D332" s="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1"/>
      <c r="B333" s="2"/>
      <c r="C333" s="3"/>
      <c r="D333" s="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1"/>
      <c r="B334" s="2"/>
      <c r="C334" s="3"/>
      <c r="D334" s="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1"/>
      <c r="B335" s="2"/>
      <c r="C335" s="3"/>
      <c r="D335" s="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1"/>
      <c r="B336" s="2"/>
      <c r="C336" s="3"/>
      <c r="D336" s="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1"/>
      <c r="B337" s="2"/>
      <c r="C337" s="3"/>
      <c r="D337" s="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1"/>
      <c r="B338" s="2"/>
      <c r="C338" s="3"/>
      <c r="D338" s="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1"/>
      <c r="B339" s="2"/>
      <c r="C339" s="3"/>
      <c r="D339" s="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1"/>
      <c r="B340" s="2"/>
      <c r="C340" s="3"/>
      <c r="D340" s="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1"/>
      <c r="B341" s="2"/>
      <c r="C341" s="3"/>
      <c r="D341" s="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1"/>
      <c r="B342" s="2"/>
      <c r="C342" s="3"/>
      <c r="D342" s="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1"/>
      <c r="B343" s="2"/>
      <c r="C343" s="3"/>
      <c r="D343" s="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1"/>
      <c r="B344" s="2"/>
      <c r="C344" s="3"/>
      <c r="D344" s="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1"/>
      <c r="B345" s="2"/>
      <c r="C345" s="3"/>
      <c r="D345" s="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1"/>
      <c r="B346" s="2"/>
      <c r="C346" s="3"/>
      <c r="D346" s="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1"/>
      <c r="B347" s="2"/>
      <c r="C347" s="3"/>
      <c r="D347" s="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1"/>
      <c r="B348" s="2"/>
      <c r="C348" s="3"/>
      <c r="D348" s="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1"/>
      <c r="B349" s="2"/>
      <c r="C349" s="3"/>
      <c r="D349" s="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1"/>
      <c r="B350" s="2"/>
      <c r="C350" s="3"/>
      <c r="D350" s="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1"/>
      <c r="B351" s="2"/>
      <c r="C351" s="3"/>
      <c r="D351" s="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1"/>
      <c r="B352" s="2"/>
      <c r="C352" s="3"/>
      <c r="D352" s="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1"/>
      <c r="B353" s="2"/>
      <c r="C353" s="3"/>
      <c r="D353" s="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1"/>
      <c r="B354" s="2"/>
      <c r="C354" s="3"/>
      <c r="D354" s="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1"/>
      <c r="B355" s="2"/>
      <c r="C355" s="3"/>
      <c r="D355" s="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1"/>
      <c r="B356" s="2"/>
      <c r="C356" s="3"/>
      <c r="D356" s="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1"/>
      <c r="B357" s="2"/>
      <c r="C357" s="3"/>
      <c r="D357" s="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1"/>
      <c r="B358" s="2"/>
      <c r="C358" s="3"/>
      <c r="D358" s="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1"/>
      <c r="B359" s="2"/>
      <c r="C359" s="3"/>
      <c r="D359" s="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1"/>
      <c r="B360" s="2"/>
      <c r="C360" s="3"/>
      <c r="D360" s="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1"/>
      <c r="B361" s="2"/>
      <c r="C361" s="3"/>
      <c r="D361" s="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1"/>
      <c r="B362" s="2"/>
      <c r="C362" s="3"/>
      <c r="D362" s="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1"/>
      <c r="B363" s="2"/>
      <c r="C363" s="3"/>
      <c r="D363" s="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1"/>
      <c r="B364" s="2"/>
      <c r="C364" s="3"/>
      <c r="D364" s="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1"/>
      <c r="B365" s="2"/>
      <c r="C365" s="3"/>
      <c r="D365" s="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1"/>
      <c r="B366" s="2"/>
      <c r="C366" s="3"/>
      <c r="D366" s="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1"/>
      <c r="B367" s="2"/>
      <c r="C367" s="3"/>
      <c r="D367" s="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1"/>
      <c r="B368" s="2"/>
      <c r="C368" s="3"/>
      <c r="D368" s="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1"/>
      <c r="B369" s="2"/>
      <c r="C369" s="3"/>
      <c r="D369" s="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1"/>
      <c r="B370" s="2"/>
      <c r="C370" s="3"/>
      <c r="D370" s="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1"/>
      <c r="B371" s="2"/>
      <c r="C371" s="3"/>
      <c r="D371" s="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1"/>
      <c r="B372" s="2"/>
      <c r="C372" s="3"/>
      <c r="D372" s="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1"/>
      <c r="B373" s="2"/>
      <c r="C373" s="3"/>
      <c r="D373" s="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1"/>
      <c r="B374" s="2"/>
      <c r="C374" s="3"/>
      <c r="D374" s="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1"/>
      <c r="B375" s="2"/>
      <c r="C375" s="3"/>
      <c r="D375" s="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1"/>
      <c r="B376" s="2"/>
      <c r="C376" s="3"/>
      <c r="D376" s="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1"/>
      <c r="B377" s="2"/>
      <c r="C377" s="3"/>
      <c r="D377" s="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1"/>
      <c r="B378" s="2"/>
      <c r="C378" s="3"/>
      <c r="D378" s="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1"/>
      <c r="B379" s="2"/>
      <c r="C379" s="3"/>
      <c r="D379" s="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1"/>
      <c r="B380" s="2"/>
      <c r="C380" s="3"/>
      <c r="D380" s="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1"/>
      <c r="B381" s="2"/>
      <c r="C381" s="3"/>
      <c r="D381" s="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1"/>
      <c r="B382" s="2"/>
      <c r="C382" s="3"/>
      <c r="D382" s="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1"/>
      <c r="B383" s="2"/>
      <c r="C383" s="3"/>
      <c r="D383" s="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1"/>
      <c r="B384" s="2"/>
      <c r="C384" s="3"/>
      <c r="D384" s="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1"/>
      <c r="B385" s="2"/>
      <c r="C385" s="3"/>
      <c r="D385" s="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1"/>
      <c r="B386" s="2"/>
      <c r="C386" s="3"/>
      <c r="D386" s="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1"/>
      <c r="B387" s="2"/>
      <c r="C387" s="3"/>
      <c r="D387" s="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1"/>
      <c r="B388" s="2"/>
      <c r="C388" s="3"/>
      <c r="D388" s="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1"/>
      <c r="B389" s="2"/>
      <c r="C389" s="3"/>
      <c r="D389" s="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1"/>
      <c r="B390" s="2"/>
      <c r="C390" s="3"/>
      <c r="D390" s="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1"/>
      <c r="B391" s="2"/>
      <c r="C391" s="3"/>
      <c r="D391" s="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1"/>
      <c r="B392" s="2"/>
      <c r="C392" s="3"/>
      <c r="D392" s="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1"/>
      <c r="B393" s="2"/>
      <c r="C393" s="3"/>
      <c r="D393" s="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1"/>
      <c r="B394" s="2"/>
      <c r="C394" s="3"/>
      <c r="D394" s="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1"/>
      <c r="B395" s="2"/>
      <c r="C395" s="3"/>
      <c r="D395" s="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1"/>
      <c r="B396" s="2"/>
      <c r="C396" s="3"/>
      <c r="D396" s="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1"/>
      <c r="B397" s="2"/>
      <c r="C397" s="3"/>
      <c r="D397" s="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1"/>
      <c r="B398" s="2"/>
      <c r="C398" s="3"/>
      <c r="D398" s="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1"/>
      <c r="B399" s="2"/>
      <c r="C399" s="3"/>
      <c r="D399" s="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1"/>
      <c r="B400" s="2"/>
      <c r="C400" s="3"/>
      <c r="D400" s="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1"/>
      <c r="B401" s="2"/>
      <c r="C401" s="3"/>
      <c r="D401" s="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1"/>
      <c r="B402" s="2"/>
      <c r="C402" s="3"/>
      <c r="D402" s="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1"/>
      <c r="B403" s="2"/>
      <c r="C403" s="3"/>
      <c r="D403" s="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1"/>
      <c r="B404" s="2"/>
      <c r="C404" s="3"/>
      <c r="D404" s="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1"/>
      <c r="B405" s="2"/>
      <c r="C405" s="3"/>
      <c r="D405" s="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1"/>
      <c r="B406" s="2"/>
      <c r="C406" s="3"/>
      <c r="D406" s="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1"/>
      <c r="B407" s="2"/>
      <c r="C407" s="3"/>
      <c r="D407" s="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1"/>
      <c r="B408" s="2"/>
      <c r="C408" s="3"/>
      <c r="D408" s="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1"/>
      <c r="B409" s="2"/>
      <c r="C409" s="3"/>
      <c r="D409" s="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1"/>
      <c r="B410" s="2"/>
      <c r="C410" s="3"/>
      <c r="D410" s="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1"/>
      <c r="B411" s="2"/>
      <c r="C411" s="3"/>
      <c r="D411" s="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1"/>
      <c r="B412" s="2"/>
      <c r="C412" s="3"/>
      <c r="D412" s="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1"/>
      <c r="B413" s="2"/>
      <c r="C413" s="3"/>
      <c r="D413" s="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1"/>
      <c r="B414" s="2"/>
      <c r="C414" s="3"/>
      <c r="D414" s="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1"/>
      <c r="B415" s="2"/>
      <c r="C415" s="3"/>
      <c r="D415" s="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1"/>
      <c r="B416" s="2"/>
      <c r="C416" s="3"/>
      <c r="D416" s="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1"/>
      <c r="B417" s="2"/>
      <c r="C417" s="3"/>
      <c r="D417" s="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1"/>
      <c r="B418" s="2"/>
      <c r="C418" s="3"/>
      <c r="D418" s="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1"/>
      <c r="B419" s="2"/>
      <c r="C419" s="3"/>
      <c r="D419" s="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1"/>
      <c r="B420" s="2"/>
      <c r="C420" s="3"/>
      <c r="D420" s="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1"/>
      <c r="B421" s="2"/>
      <c r="C421" s="3"/>
      <c r="D421" s="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1"/>
      <c r="B422" s="2"/>
      <c r="C422" s="3"/>
      <c r="D422" s="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1"/>
      <c r="B423" s="2"/>
      <c r="C423" s="3"/>
      <c r="D423" s="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1"/>
      <c r="B424" s="2"/>
      <c r="C424" s="3"/>
      <c r="D424" s="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1"/>
      <c r="B425" s="2"/>
      <c r="C425" s="3"/>
      <c r="D425" s="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1"/>
      <c r="B426" s="2"/>
      <c r="C426" s="3"/>
      <c r="D426" s="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1"/>
      <c r="B427" s="2"/>
      <c r="C427" s="3"/>
      <c r="D427" s="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1"/>
      <c r="B428" s="2"/>
      <c r="C428" s="3"/>
      <c r="D428" s="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1"/>
      <c r="B429" s="2"/>
      <c r="C429" s="3"/>
      <c r="D429" s="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1"/>
      <c r="B430" s="2"/>
      <c r="C430" s="3"/>
      <c r="D430" s="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1"/>
      <c r="B431" s="2"/>
      <c r="C431" s="3"/>
      <c r="D431" s="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1"/>
      <c r="B432" s="2"/>
      <c r="C432" s="3"/>
      <c r="D432" s="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1"/>
      <c r="B433" s="2"/>
      <c r="C433" s="3"/>
      <c r="D433" s="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1"/>
      <c r="B434" s="2"/>
      <c r="C434" s="3"/>
      <c r="D434" s="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1"/>
      <c r="B435" s="2"/>
      <c r="C435" s="3"/>
      <c r="D435" s="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1"/>
      <c r="B436" s="2"/>
      <c r="C436" s="3"/>
      <c r="D436" s="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1"/>
      <c r="B437" s="2"/>
      <c r="C437" s="3"/>
      <c r="D437" s="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1"/>
      <c r="B438" s="2"/>
      <c r="C438" s="3"/>
      <c r="D438" s="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1"/>
      <c r="B439" s="2"/>
      <c r="C439" s="3"/>
      <c r="D439" s="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1"/>
      <c r="B440" s="2"/>
      <c r="C440" s="3"/>
      <c r="D440" s="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1"/>
      <c r="B441" s="2"/>
      <c r="C441" s="3"/>
      <c r="D441" s="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1"/>
      <c r="B442" s="2"/>
      <c r="C442" s="3"/>
      <c r="D442" s="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1"/>
      <c r="B443" s="2"/>
      <c r="C443" s="3"/>
      <c r="D443" s="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1"/>
      <c r="B444" s="2"/>
      <c r="C444" s="3"/>
      <c r="D444" s="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1"/>
      <c r="B445" s="2"/>
      <c r="C445" s="3"/>
      <c r="D445" s="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1"/>
      <c r="B446" s="2"/>
      <c r="C446" s="3"/>
      <c r="D446" s="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1"/>
      <c r="B447" s="2"/>
      <c r="C447" s="3"/>
      <c r="D447" s="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1"/>
      <c r="B448" s="2"/>
      <c r="C448" s="3"/>
      <c r="D448" s="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1"/>
      <c r="B449" s="2"/>
      <c r="C449" s="3"/>
      <c r="D449" s="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1"/>
      <c r="B450" s="2"/>
      <c r="C450" s="3"/>
      <c r="D450" s="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1"/>
      <c r="B451" s="2"/>
      <c r="C451" s="3"/>
      <c r="D451" s="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1"/>
      <c r="B452" s="2"/>
      <c r="C452" s="3"/>
      <c r="D452" s="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1"/>
      <c r="B453" s="2"/>
      <c r="C453" s="3"/>
      <c r="D453" s="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1"/>
      <c r="B454" s="2"/>
      <c r="C454" s="3"/>
      <c r="D454" s="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1"/>
      <c r="B455" s="2"/>
      <c r="C455" s="3"/>
      <c r="D455" s="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1"/>
      <c r="B456" s="2"/>
      <c r="C456" s="3"/>
      <c r="D456" s="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1"/>
      <c r="B457" s="2"/>
      <c r="C457" s="3"/>
      <c r="D457" s="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1"/>
      <c r="B458" s="2"/>
      <c r="C458" s="3"/>
      <c r="D458" s="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1"/>
      <c r="B459" s="2"/>
      <c r="C459" s="3"/>
      <c r="D459" s="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1"/>
      <c r="B460" s="2"/>
      <c r="C460" s="3"/>
      <c r="D460" s="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1"/>
      <c r="B461" s="2"/>
      <c r="C461" s="3"/>
      <c r="D461" s="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1"/>
      <c r="B462" s="2"/>
      <c r="C462" s="3"/>
      <c r="D462" s="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1"/>
      <c r="B463" s="2"/>
      <c r="C463" s="3"/>
      <c r="D463" s="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1"/>
      <c r="B464" s="2"/>
      <c r="C464" s="3"/>
      <c r="D464" s="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1"/>
      <c r="B465" s="2"/>
      <c r="C465" s="3"/>
      <c r="D465" s="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1"/>
      <c r="B466" s="2"/>
      <c r="C466" s="3"/>
      <c r="D466" s="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1"/>
      <c r="B467" s="2"/>
      <c r="C467" s="3"/>
      <c r="D467" s="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1"/>
      <c r="B468" s="2"/>
      <c r="C468" s="3"/>
      <c r="D468" s="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1"/>
      <c r="B469" s="2"/>
      <c r="C469" s="3"/>
      <c r="D469" s="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1"/>
      <c r="B470" s="2"/>
      <c r="C470" s="3"/>
      <c r="D470" s="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1"/>
      <c r="B471" s="2"/>
      <c r="C471" s="3"/>
      <c r="D471" s="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1"/>
      <c r="B472" s="2"/>
      <c r="C472" s="3"/>
      <c r="D472" s="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1"/>
      <c r="B473" s="2"/>
      <c r="C473" s="3"/>
      <c r="D473" s="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1"/>
      <c r="B474" s="2"/>
      <c r="C474" s="3"/>
      <c r="D474" s="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1"/>
      <c r="B475" s="2"/>
      <c r="C475" s="3"/>
      <c r="D475" s="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1"/>
      <c r="B476" s="2"/>
      <c r="C476" s="3"/>
      <c r="D476" s="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1"/>
      <c r="B477" s="2"/>
      <c r="C477" s="3"/>
      <c r="D477" s="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1"/>
      <c r="B478" s="2"/>
      <c r="C478" s="3"/>
      <c r="D478" s="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1"/>
      <c r="B479" s="2"/>
      <c r="C479" s="3"/>
      <c r="D479" s="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1"/>
      <c r="B480" s="2"/>
      <c r="C480" s="3"/>
      <c r="D480" s="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1"/>
      <c r="B481" s="2"/>
      <c r="C481" s="3"/>
      <c r="D481" s="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1"/>
      <c r="B482" s="2"/>
      <c r="C482" s="3"/>
      <c r="D482" s="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1"/>
      <c r="B483" s="2"/>
      <c r="C483" s="3"/>
      <c r="D483" s="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1"/>
      <c r="B484" s="2"/>
      <c r="C484" s="3"/>
      <c r="D484" s="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1"/>
      <c r="B485" s="2"/>
      <c r="C485" s="3"/>
      <c r="D485" s="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1"/>
      <c r="B486" s="2"/>
      <c r="C486" s="3"/>
      <c r="D486" s="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1"/>
      <c r="B487" s="2"/>
      <c r="C487" s="3"/>
      <c r="D487" s="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1"/>
      <c r="B488" s="2"/>
      <c r="C488" s="3"/>
      <c r="D488" s="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1"/>
      <c r="B489" s="2"/>
      <c r="C489" s="3"/>
      <c r="D489" s="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1"/>
      <c r="B490" s="2"/>
      <c r="C490" s="3"/>
      <c r="D490" s="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1"/>
      <c r="B491" s="2"/>
      <c r="C491" s="3"/>
      <c r="D491" s="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1"/>
      <c r="B492" s="2"/>
      <c r="C492" s="3"/>
      <c r="D492" s="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1"/>
      <c r="B493" s="2"/>
      <c r="C493" s="3"/>
      <c r="D493" s="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1"/>
      <c r="B494" s="2"/>
      <c r="C494" s="3"/>
      <c r="D494" s="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1"/>
      <c r="B495" s="2"/>
      <c r="C495" s="3"/>
      <c r="D495" s="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1"/>
      <c r="B496" s="2"/>
      <c r="C496" s="3"/>
      <c r="D496" s="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1"/>
      <c r="B497" s="2"/>
      <c r="C497" s="3"/>
      <c r="D497" s="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1"/>
      <c r="B498" s="2"/>
      <c r="C498" s="3"/>
      <c r="D498" s="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1"/>
      <c r="B499" s="2"/>
      <c r="C499" s="3"/>
      <c r="D499" s="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1"/>
      <c r="B500" s="2"/>
      <c r="C500" s="3"/>
      <c r="D500" s="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1"/>
      <c r="B501" s="2"/>
      <c r="C501" s="3"/>
      <c r="D501" s="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1"/>
      <c r="B502" s="2"/>
      <c r="C502" s="3"/>
      <c r="D502" s="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1"/>
      <c r="B503" s="2"/>
      <c r="C503" s="3"/>
      <c r="D503" s="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1"/>
      <c r="B504" s="2"/>
      <c r="C504" s="3"/>
      <c r="D504" s="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1"/>
      <c r="B505" s="2"/>
      <c r="C505" s="3"/>
      <c r="D505" s="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1"/>
      <c r="B506" s="2"/>
      <c r="C506" s="3"/>
      <c r="D506" s="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1"/>
      <c r="B507" s="2"/>
      <c r="C507" s="3"/>
      <c r="D507" s="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1"/>
      <c r="B508" s="2"/>
      <c r="C508" s="3"/>
      <c r="D508" s="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1"/>
      <c r="B509" s="2"/>
      <c r="C509" s="3"/>
      <c r="D509" s="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1"/>
      <c r="B510" s="2"/>
      <c r="C510" s="3"/>
      <c r="D510" s="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1"/>
      <c r="B511" s="2"/>
      <c r="C511" s="3"/>
      <c r="D511" s="3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1"/>
      <c r="B512" s="2"/>
      <c r="C512" s="3"/>
      <c r="D512" s="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1"/>
      <c r="B513" s="2"/>
      <c r="C513" s="3"/>
      <c r="D513" s="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1"/>
      <c r="B514" s="2"/>
      <c r="C514" s="3"/>
      <c r="D514" s="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1"/>
      <c r="B515" s="2"/>
      <c r="C515" s="3"/>
      <c r="D515" s="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1"/>
      <c r="B516" s="2"/>
      <c r="C516" s="3"/>
      <c r="D516" s="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1"/>
      <c r="B517" s="2"/>
      <c r="C517" s="3"/>
      <c r="D517" s="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1"/>
      <c r="B518" s="2"/>
      <c r="C518" s="3"/>
      <c r="D518" s="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1"/>
      <c r="B519" s="2"/>
      <c r="C519" s="3"/>
      <c r="D519" s="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1"/>
      <c r="B520" s="2"/>
      <c r="C520" s="3"/>
      <c r="D520" s="3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1"/>
      <c r="B521" s="2"/>
      <c r="C521" s="3"/>
      <c r="D521" s="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1"/>
      <c r="B522" s="2"/>
      <c r="C522" s="3"/>
      <c r="D522" s="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1"/>
      <c r="B523" s="2"/>
      <c r="C523" s="3"/>
      <c r="D523" s="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1"/>
      <c r="B524" s="2"/>
      <c r="C524" s="3"/>
      <c r="D524" s="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1"/>
      <c r="B525" s="2"/>
      <c r="C525" s="3"/>
      <c r="D525" s="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1"/>
      <c r="B526" s="2"/>
      <c r="C526" s="3"/>
      <c r="D526" s="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1"/>
      <c r="B527" s="2"/>
      <c r="C527" s="3"/>
      <c r="D527" s="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1"/>
      <c r="B528" s="2"/>
      <c r="C528" s="3"/>
      <c r="D528" s="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1"/>
      <c r="B529" s="2"/>
      <c r="C529" s="3"/>
      <c r="D529" s="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1"/>
      <c r="B530" s="2"/>
      <c r="C530" s="3"/>
      <c r="D530" s="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1"/>
      <c r="B531" s="2"/>
      <c r="C531" s="3"/>
      <c r="D531" s="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1"/>
      <c r="B532" s="2"/>
      <c r="C532" s="3"/>
      <c r="D532" s="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1"/>
      <c r="B533" s="2"/>
      <c r="C533" s="3"/>
      <c r="D533" s="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1"/>
      <c r="B534" s="2"/>
      <c r="C534" s="3"/>
      <c r="D534" s="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1"/>
      <c r="B535" s="2"/>
      <c r="C535" s="3"/>
      <c r="D535" s="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1"/>
      <c r="B536" s="2"/>
      <c r="C536" s="3"/>
      <c r="D536" s="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1"/>
      <c r="B537" s="2"/>
      <c r="C537" s="3"/>
      <c r="D537" s="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1"/>
      <c r="B538" s="2"/>
      <c r="C538" s="3"/>
      <c r="D538" s="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1"/>
      <c r="B539" s="2"/>
      <c r="C539" s="3"/>
      <c r="D539" s="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1"/>
      <c r="B540" s="2"/>
      <c r="C540" s="3"/>
      <c r="D540" s="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1"/>
      <c r="B541" s="2"/>
      <c r="C541" s="3"/>
      <c r="D541" s="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1"/>
      <c r="B542" s="2"/>
      <c r="C542" s="3"/>
      <c r="D542" s="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1"/>
      <c r="B543" s="2"/>
      <c r="C543" s="3"/>
      <c r="D543" s="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1"/>
      <c r="B544" s="2"/>
      <c r="C544" s="3"/>
      <c r="D544" s="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1"/>
      <c r="B545" s="2"/>
      <c r="C545" s="3"/>
      <c r="D545" s="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1"/>
      <c r="B546" s="2"/>
      <c r="C546" s="3"/>
      <c r="D546" s="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1"/>
      <c r="B547" s="2"/>
      <c r="C547" s="3"/>
      <c r="D547" s="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1"/>
      <c r="B548" s="2"/>
      <c r="C548" s="3"/>
      <c r="D548" s="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1"/>
      <c r="B549" s="2"/>
      <c r="C549" s="3"/>
      <c r="D549" s="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1"/>
      <c r="B550" s="2"/>
      <c r="C550" s="3"/>
      <c r="D550" s="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1"/>
      <c r="B551" s="2"/>
      <c r="C551" s="3"/>
      <c r="D551" s="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1"/>
      <c r="B552" s="2"/>
      <c r="C552" s="3"/>
      <c r="D552" s="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1"/>
      <c r="B553" s="2"/>
      <c r="C553" s="3"/>
      <c r="D553" s="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1"/>
      <c r="B554" s="2"/>
      <c r="C554" s="3"/>
      <c r="D554" s="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1"/>
      <c r="B555" s="2"/>
      <c r="C555" s="3"/>
      <c r="D555" s="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1"/>
      <c r="B556" s="2"/>
      <c r="C556" s="3"/>
      <c r="D556" s="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1"/>
      <c r="B557" s="2"/>
      <c r="C557" s="3"/>
      <c r="D557" s="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1"/>
      <c r="B558" s="2"/>
      <c r="C558" s="3"/>
      <c r="D558" s="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1"/>
      <c r="B559" s="2"/>
      <c r="C559" s="3"/>
      <c r="D559" s="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1"/>
      <c r="B560" s="2"/>
      <c r="C560" s="3"/>
      <c r="D560" s="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1"/>
      <c r="B561" s="2"/>
      <c r="C561" s="3"/>
      <c r="D561" s="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1"/>
      <c r="B562" s="2"/>
      <c r="C562" s="3"/>
      <c r="D562" s="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1"/>
      <c r="B563" s="2"/>
      <c r="C563" s="3"/>
      <c r="D563" s="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1"/>
      <c r="B564" s="2"/>
      <c r="C564" s="3"/>
      <c r="D564" s="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1"/>
      <c r="B565" s="2"/>
      <c r="C565" s="3"/>
      <c r="D565" s="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1"/>
      <c r="B566" s="2"/>
      <c r="C566" s="3"/>
      <c r="D566" s="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1"/>
      <c r="B567" s="2"/>
      <c r="C567" s="3"/>
      <c r="D567" s="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1"/>
      <c r="B568" s="2"/>
      <c r="C568" s="3"/>
      <c r="D568" s="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1"/>
      <c r="B569" s="2"/>
      <c r="C569" s="3"/>
      <c r="D569" s="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1"/>
      <c r="B570" s="2"/>
      <c r="C570" s="3"/>
      <c r="D570" s="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1"/>
      <c r="B571" s="2"/>
      <c r="C571" s="3"/>
      <c r="D571" s="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1"/>
      <c r="B572" s="2"/>
      <c r="C572" s="3"/>
      <c r="D572" s="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1"/>
      <c r="B573" s="2"/>
      <c r="C573" s="3"/>
      <c r="D573" s="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1"/>
      <c r="B574" s="2"/>
      <c r="C574" s="3"/>
      <c r="D574" s="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1"/>
      <c r="B575" s="2"/>
      <c r="C575" s="3"/>
      <c r="D575" s="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1"/>
      <c r="B576" s="2"/>
      <c r="C576" s="3"/>
      <c r="D576" s="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1"/>
      <c r="B577" s="2"/>
      <c r="C577" s="3"/>
      <c r="D577" s="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1"/>
      <c r="B578" s="2"/>
      <c r="C578" s="3"/>
      <c r="D578" s="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1"/>
      <c r="B579" s="2"/>
      <c r="C579" s="3"/>
      <c r="D579" s="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1"/>
      <c r="B580" s="2"/>
      <c r="C580" s="3"/>
      <c r="D580" s="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1"/>
      <c r="B581" s="2"/>
      <c r="C581" s="3"/>
      <c r="D581" s="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1"/>
      <c r="B582" s="2"/>
      <c r="C582" s="3"/>
      <c r="D582" s="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1"/>
      <c r="B583" s="2"/>
      <c r="C583" s="3"/>
      <c r="D583" s="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1"/>
      <c r="B584" s="2"/>
      <c r="C584" s="3"/>
      <c r="D584" s="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1"/>
      <c r="B585" s="2"/>
      <c r="C585" s="3"/>
      <c r="D585" s="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1"/>
      <c r="B586" s="2"/>
      <c r="C586" s="3"/>
      <c r="D586" s="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1"/>
      <c r="B587" s="2"/>
      <c r="C587" s="3"/>
      <c r="D587" s="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1"/>
      <c r="B588" s="2"/>
      <c r="C588" s="3"/>
      <c r="D588" s="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1"/>
      <c r="B589" s="2"/>
      <c r="C589" s="3"/>
      <c r="D589" s="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1"/>
      <c r="B590" s="2"/>
      <c r="C590" s="3"/>
      <c r="D590" s="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1"/>
      <c r="B591" s="2"/>
      <c r="C591" s="3"/>
      <c r="D591" s="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1"/>
      <c r="B592" s="2"/>
      <c r="C592" s="3"/>
      <c r="D592" s="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1"/>
      <c r="B593" s="2"/>
      <c r="C593" s="3"/>
      <c r="D593" s="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1"/>
      <c r="B594" s="2"/>
      <c r="C594" s="3"/>
      <c r="D594" s="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1"/>
      <c r="B595" s="2"/>
      <c r="C595" s="3"/>
      <c r="D595" s="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1"/>
      <c r="B596" s="2"/>
      <c r="C596" s="3"/>
      <c r="D596" s="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1"/>
      <c r="B597" s="2"/>
      <c r="C597" s="3"/>
      <c r="D597" s="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1"/>
      <c r="B598" s="2"/>
      <c r="C598" s="3"/>
      <c r="D598" s="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1"/>
      <c r="B599" s="2"/>
      <c r="C599" s="3"/>
      <c r="D599" s="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1"/>
      <c r="B600" s="2"/>
      <c r="C600" s="3"/>
      <c r="D600" s="3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1"/>
      <c r="B601" s="2"/>
      <c r="C601" s="3"/>
      <c r="D601" s="3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1"/>
      <c r="B602" s="2"/>
      <c r="C602" s="3"/>
      <c r="D602" s="3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1"/>
      <c r="B603" s="2"/>
      <c r="C603" s="3"/>
      <c r="D603" s="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1"/>
      <c r="B604" s="2"/>
      <c r="C604" s="3"/>
      <c r="D604" s="3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1"/>
      <c r="B605" s="2"/>
      <c r="C605" s="3"/>
      <c r="D605" s="3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1"/>
      <c r="B606" s="2"/>
      <c r="C606" s="3"/>
      <c r="D606" s="3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1"/>
      <c r="B607" s="2"/>
      <c r="C607" s="3"/>
      <c r="D607" s="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1"/>
      <c r="B608" s="2"/>
      <c r="C608" s="3"/>
      <c r="D608" s="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1"/>
      <c r="B609" s="2"/>
      <c r="C609" s="3"/>
      <c r="D609" s="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1"/>
      <c r="B610" s="2"/>
      <c r="C610" s="3"/>
      <c r="D610" s="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1"/>
      <c r="B611" s="2"/>
      <c r="C611" s="3"/>
      <c r="D611" s="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1"/>
      <c r="B612" s="2"/>
      <c r="C612" s="3"/>
      <c r="D612" s="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1"/>
      <c r="B613" s="2"/>
      <c r="C613" s="3"/>
      <c r="D613" s="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1"/>
      <c r="B614" s="2"/>
      <c r="C614" s="3"/>
      <c r="D614" s="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1"/>
      <c r="B615" s="2"/>
      <c r="C615" s="3"/>
      <c r="D615" s="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1"/>
      <c r="B616" s="2"/>
      <c r="C616" s="3"/>
      <c r="D616" s="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1"/>
      <c r="B617" s="2"/>
      <c r="C617" s="3"/>
      <c r="D617" s="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1"/>
      <c r="B618" s="2"/>
      <c r="C618" s="3"/>
      <c r="D618" s="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1"/>
      <c r="B619" s="2"/>
      <c r="C619" s="3"/>
      <c r="D619" s="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1"/>
      <c r="B620" s="2"/>
      <c r="C620" s="3"/>
      <c r="D620" s="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1"/>
      <c r="B621" s="2"/>
      <c r="C621" s="3"/>
      <c r="D621" s="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1"/>
      <c r="B622" s="2"/>
      <c r="C622" s="3"/>
      <c r="D622" s="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1"/>
      <c r="B623" s="2"/>
      <c r="C623" s="3"/>
      <c r="D623" s="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1"/>
      <c r="B624" s="2"/>
      <c r="C624" s="3"/>
      <c r="D624" s="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1"/>
      <c r="B625" s="2"/>
      <c r="C625" s="3"/>
      <c r="D625" s="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1"/>
      <c r="B626" s="2"/>
      <c r="C626" s="3"/>
      <c r="D626" s="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1"/>
      <c r="B627" s="2"/>
      <c r="C627" s="3"/>
      <c r="D627" s="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1"/>
      <c r="B628" s="2"/>
      <c r="C628" s="3"/>
      <c r="D628" s="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1"/>
      <c r="B629" s="2"/>
      <c r="C629" s="3"/>
      <c r="D629" s="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1"/>
      <c r="B630" s="2"/>
      <c r="C630" s="3"/>
      <c r="D630" s="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1"/>
      <c r="B631" s="2"/>
      <c r="C631" s="3"/>
      <c r="D631" s="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1"/>
      <c r="B632" s="2"/>
      <c r="C632" s="3"/>
      <c r="D632" s="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1"/>
      <c r="B633" s="2"/>
      <c r="C633" s="3"/>
      <c r="D633" s="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1"/>
      <c r="B634" s="2"/>
      <c r="C634" s="3"/>
      <c r="D634" s="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1"/>
      <c r="B635" s="2"/>
      <c r="C635" s="3"/>
      <c r="D635" s="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1"/>
      <c r="B636" s="2"/>
      <c r="C636" s="3"/>
      <c r="D636" s="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1"/>
      <c r="B637" s="2"/>
      <c r="C637" s="3"/>
      <c r="D637" s="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1"/>
      <c r="B638" s="2"/>
      <c r="C638" s="3"/>
      <c r="D638" s="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1"/>
      <c r="B639" s="2"/>
      <c r="C639" s="3"/>
      <c r="D639" s="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1"/>
      <c r="B640" s="2"/>
      <c r="C640" s="3"/>
      <c r="D640" s="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1"/>
      <c r="B641" s="2"/>
      <c r="C641" s="3"/>
      <c r="D641" s="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1"/>
      <c r="B642" s="2"/>
      <c r="C642" s="3"/>
      <c r="D642" s="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1"/>
      <c r="B643" s="2"/>
      <c r="C643" s="3"/>
      <c r="D643" s="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1"/>
      <c r="B644" s="2"/>
      <c r="C644" s="3"/>
      <c r="D644" s="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1"/>
      <c r="B645" s="2"/>
      <c r="C645" s="3"/>
      <c r="D645" s="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1"/>
      <c r="B646" s="2"/>
      <c r="C646" s="3"/>
      <c r="D646" s="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1"/>
      <c r="B647" s="2"/>
      <c r="C647" s="3"/>
      <c r="D647" s="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1"/>
      <c r="B648" s="2"/>
      <c r="C648" s="3"/>
      <c r="D648" s="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1"/>
      <c r="B649" s="2"/>
      <c r="C649" s="3"/>
      <c r="D649" s="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1"/>
      <c r="B650" s="2"/>
      <c r="C650" s="3"/>
      <c r="D650" s="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1"/>
      <c r="B651" s="2"/>
      <c r="C651" s="3"/>
      <c r="D651" s="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1"/>
      <c r="B652" s="2"/>
      <c r="C652" s="3"/>
      <c r="D652" s="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1"/>
      <c r="B653" s="2"/>
      <c r="C653" s="3"/>
      <c r="D653" s="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1"/>
      <c r="B654" s="2"/>
      <c r="C654" s="3"/>
      <c r="D654" s="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1"/>
      <c r="B655" s="2"/>
      <c r="C655" s="3"/>
      <c r="D655" s="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1"/>
      <c r="B656" s="2"/>
      <c r="C656" s="3"/>
      <c r="D656" s="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1"/>
      <c r="B657" s="2"/>
      <c r="C657" s="3"/>
      <c r="D657" s="3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1"/>
      <c r="B658" s="2"/>
      <c r="C658" s="3"/>
      <c r="D658" s="3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1"/>
      <c r="B659" s="2"/>
      <c r="C659" s="3"/>
      <c r="D659" s="3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1"/>
      <c r="B660" s="2"/>
      <c r="C660" s="3"/>
      <c r="D660" s="3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1"/>
      <c r="B661" s="2"/>
      <c r="C661" s="3"/>
      <c r="D661" s="3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1"/>
      <c r="B662" s="2"/>
      <c r="C662" s="3"/>
      <c r="D662" s="3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1"/>
      <c r="B663" s="2"/>
      <c r="C663" s="3"/>
      <c r="D663" s="3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1"/>
      <c r="B664" s="2"/>
      <c r="C664" s="3"/>
      <c r="D664" s="3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1"/>
      <c r="B665" s="2"/>
      <c r="C665" s="3"/>
      <c r="D665" s="3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1"/>
      <c r="B666" s="2"/>
      <c r="C666" s="3"/>
      <c r="D666" s="3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1"/>
      <c r="B667" s="2"/>
      <c r="C667" s="3"/>
      <c r="D667" s="3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1"/>
      <c r="B668" s="2"/>
      <c r="C668" s="3"/>
      <c r="D668" s="3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1"/>
      <c r="B669" s="2"/>
      <c r="C669" s="3"/>
      <c r="D669" s="3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1"/>
      <c r="B670" s="2"/>
      <c r="C670" s="3"/>
      <c r="D670" s="3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1"/>
      <c r="B671" s="2"/>
      <c r="C671" s="3"/>
      <c r="D671" s="3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1"/>
      <c r="B672" s="2"/>
      <c r="C672" s="3"/>
      <c r="D672" s="3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1"/>
      <c r="B673" s="2"/>
      <c r="C673" s="3"/>
      <c r="D673" s="3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1"/>
      <c r="B674" s="2"/>
      <c r="C674" s="3"/>
      <c r="D674" s="3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1"/>
      <c r="B675" s="2"/>
      <c r="C675" s="3"/>
      <c r="D675" s="3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1"/>
      <c r="B676" s="2"/>
      <c r="C676" s="3"/>
      <c r="D676" s="3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1"/>
      <c r="B677" s="2"/>
      <c r="C677" s="3"/>
      <c r="D677" s="3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1"/>
      <c r="B678" s="2"/>
      <c r="C678" s="3"/>
      <c r="D678" s="3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1"/>
      <c r="B679" s="2"/>
      <c r="C679" s="3"/>
      <c r="D679" s="3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1"/>
      <c r="B680" s="2"/>
      <c r="C680" s="3"/>
      <c r="D680" s="3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1"/>
      <c r="B681" s="2"/>
      <c r="C681" s="3"/>
      <c r="D681" s="3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1"/>
      <c r="B682" s="2"/>
      <c r="C682" s="3"/>
      <c r="D682" s="3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1"/>
      <c r="B683" s="2"/>
      <c r="C683" s="3"/>
      <c r="D683" s="3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1"/>
      <c r="B684" s="2"/>
      <c r="C684" s="3"/>
      <c r="D684" s="3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1"/>
      <c r="B685" s="2"/>
      <c r="C685" s="3"/>
      <c r="D685" s="3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1"/>
      <c r="B686" s="2"/>
      <c r="C686" s="3"/>
      <c r="D686" s="3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1"/>
      <c r="B687" s="2"/>
      <c r="C687" s="3"/>
      <c r="D687" s="3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1"/>
      <c r="B688" s="2"/>
      <c r="C688" s="3"/>
      <c r="D688" s="3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1"/>
      <c r="B689" s="2"/>
      <c r="C689" s="3"/>
      <c r="D689" s="3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1"/>
      <c r="B690" s="2"/>
      <c r="C690" s="3"/>
      <c r="D690" s="3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1"/>
      <c r="B691" s="2"/>
      <c r="C691" s="3"/>
      <c r="D691" s="3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1"/>
      <c r="B692" s="2"/>
      <c r="C692" s="3"/>
      <c r="D692" s="3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1"/>
      <c r="B693" s="2"/>
      <c r="C693" s="3"/>
      <c r="D693" s="3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1"/>
      <c r="B694" s="2"/>
      <c r="C694" s="3"/>
      <c r="D694" s="3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1"/>
      <c r="B695" s="2"/>
      <c r="C695" s="3"/>
      <c r="D695" s="3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1"/>
      <c r="B696" s="2"/>
      <c r="C696" s="3"/>
      <c r="D696" s="3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1"/>
      <c r="B697" s="2"/>
      <c r="C697" s="3"/>
      <c r="D697" s="3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1"/>
      <c r="B698" s="2"/>
      <c r="C698" s="3"/>
      <c r="D698" s="3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1"/>
      <c r="B699" s="2"/>
      <c r="C699" s="3"/>
      <c r="D699" s="3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1"/>
      <c r="B700" s="2"/>
      <c r="C700" s="3"/>
      <c r="D700" s="3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1"/>
      <c r="B701" s="2"/>
      <c r="C701" s="3"/>
      <c r="D701" s="3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1"/>
      <c r="B702" s="2"/>
      <c r="C702" s="3"/>
      <c r="D702" s="3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1"/>
      <c r="B703" s="2"/>
      <c r="C703" s="3"/>
      <c r="D703" s="3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1"/>
      <c r="B704" s="2"/>
      <c r="C704" s="3"/>
      <c r="D704" s="3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1"/>
      <c r="B705" s="2"/>
      <c r="C705" s="3"/>
      <c r="D705" s="3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1"/>
      <c r="B706" s="2"/>
      <c r="C706" s="3"/>
      <c r="D706" s="3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1"/>
      <c r="B707" s="2"/>
      <c r="C707" s="3"/>
      <c r="D707" s="3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1"/>
      <c r="B708" s="2"/>
      <c r="C708" s="3"/>
      <c r="D708" s="3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1"/>
      <c r="B709" s="2"/>
      <c r="C709" s="3"/>
      <c r="D709" s="3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1"/>
      <c r="B710" s="2"/>
      <c r="C710" s="3"/>
      <c r="D710" s="3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1"/>
      <c r="B711" s="2"/>
      <c r="C711" s="3"/>
      <c r="D711" s="3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1"/>
      <c r="B712" s="2"/>
      <c r="C712" s="3"/>
      <c r="D712" s="3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1"/>
      <c r="B713" s="2"/>
      <c r="C713" s="3"/>
      <c r="D713" s="3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1"/>
      <c r="B714" s="2"/>
      <c r="C714" s="3"/>
      <c r="D714" s="3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1"/>
      <c r="B715" s="2"/>
      <c r="C715" s="3"/>
      <c r="D715" s="3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1"/>
      <c r="B716" s="2"/>
      <c r="C716" s="3"/>
      <c r="D716" s="3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1"/>
      <c r="B717" s="2"/>
      <c r="C717" s="3"/>
      <c r="D717" s="3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1"/>
      <c r="B718" s="2"/>
      <c r="C718" s="3"/>
      <c r="D718" s="3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1"/>
      <c r="B719" s="2"/>
      <c r="C719" s="3"/>
      <c r="D719" s="3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1"/>
      <c r="B720" s="2"/>
      <c r="C720" s="3"/>
      <c r="D720" s="3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1"/>
      <c r="B721" s="2"/>
      <c r="C721" s="3"/>
      <c r="D721" s="3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1"/>
      <c r="B722" s="2"/>
      <c r="C722" s="3"/>
      <c r="D722" s="3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1"/>
      <c r="B723" s="2"/>
      <c r="C723" s="3"/>
      <c r="D723" s="3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1"/>
      <c r="B724" s="2"/>
      <c r="C724" s="3"/>
      <c r="D724" s="3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1"/>
      <c r="B725" s="2"/>
      <c r="C725" s="3"/>
      <c r="D725" s="3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1"/>
      <c r="B726" s="2"/>
      <c r="C726" s="3"/>
      <c r="D726" s="3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1"/>
      <c r="B727" s="2"/>
      <c r="C727" s="3"/>
      <c r="D727" s="3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1"/>
      <c r="B728" s="2"/>
      <c r="C728" s="3"/>
      <c r="D728" s="3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1"/>
      <c r="B729" s="2"/>
      <c r="C729" s="3"/>
      <c r="D729" s="3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1"/>
      <c r="B730" s="2"/>
      <c r="C730" s="3"/>
      <c r="D730" s="3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1"/>
      <c r="B731" s="2"/>
      <c r="C731" s="3"/>
      <c r="D731" s="3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1"/>
      <c r="B732" s="2"/>
      <c r="C732" s="3"/>
      <c r="D732" s="3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1"/>
      <c r="B733" s="2"/>
      <c r="C733" s="3"/>
      <c r="D733" s="3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1"/>
      <c r="B734" s="2"/>
      <c r="C734" s="3"/>
      <c r="D734" s="3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1"/>
      <c r="B735" s="2"/>
      <c r="C735" s="3"/>
      <c r="D735" s="3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1"/>
      <c r="B736" s="2"/>
      <c r="C736" s="3"/>
      <c r="D736" s="3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1"/>
      <c r="B737" s="2"/>
      <c r="C737" s="3"/>
      <c r="D737" s="3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1"/>
      <c r="B738" s="2"/>
      <c r="C738" s="3"/>
      <c r="D738" s="3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1"/>
      <c r="B739" s="2"/>
      <c r="C739" s="3"/>
      <c r="D739" s="3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1"/>
      <c r="B740" s="2"/>
      <c r="C740" s="3"/>
      <c r="D740" s="3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1"/>
      <c r="B741" s="2"/>
      <c r="C741" s="3"/>
      <c r="D741" s="3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1"/>
      <c r="B742" s="2"/>
      <c r="C742" s="3"/>
      <c r="D742" s="3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1"/>
      <c r="B743" s="2"/>
      <c r="C743" s="3"/>
      <c r="D743" s="3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1"/>
      <c r="B744" s="2"/>
      <c r="C744" s="3"/>
      <c r="D744" s="3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1"/>
      <c r="B745" s="2"/>
      <c r="C745" s="3"/>
      <c r="D745" s="3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1"/>
      <c r="B746" s="2"/>
      <c r="C746" s="3"/>
      <c r="D746" s="3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1"/>
      <c r="B747" s="2"/>
      <c r="C747" s="3"/>
      <c r="D747" s="3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1"/>
      <c r="B748" s="2"/>
      <c r="C748" s="3"/>
      <c r="D748" s="3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1"/>
      <c r="B749" s="2"/>
      <c r="C749" s="3"/>
      <c r="D749" s="3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1"/>
      <c r="B750" s="2"/>
      <c r="C750" s="3"/>
      <c r="D750" s="3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1"/>
      <c r="B751" s="2"/>
      <c r="C751" s="3"/>
      <c r="D751" s="3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1"/>
      <c r="B752" s="2"/>
      <c r="C752" s="3"/>
      <c r="D752" s="3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1"/>
      <c r="B753" s="2"/>
      <c r="C753" s="3"/>
      <c r="D753" s="3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1"/>
      <c r="B754" s="2"/>
      <c r="C754" s="3"/>
      <c r="D754" s="3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1"/>
      <c r="B755" s="2"/>
      <c r="C755" s="3"/>
      <c r="D755" s="3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1"/>
      <c r="B756" s="2"/>
      <c r="C756" s="3"/>
      <c r="D756" s="3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1"/>
      <c r="B757" s="2"/>
      <c r="C757" s="3"/>
      <c r="D757" s="3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1"/>
      <c r="B758" s="2"/>
      <c r="C758" s="3"/>
      <c r="D758" s="3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1"/>
      <c r="B759" s="2"/>
      <c r="C759" s="3"/>
      <c r="D759" s="3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1"/>
      <c r="B760" s="2"/>
      <c r="C760" s="3"/>
      <c r="D760" s="3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1"/>
      <c r="B761" s="2"/>
      <c r="C761" s="3"/>
      <c r="D761" s="3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1"/>
      <c r="B762" s="2"/>
      <c r="C762" s="3"/>
      <c r="D762" s="3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1"/>
      <c r="B763" s="2"/>
      <c r="C763" s="3"/>
      <c r="D763" s="3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1"/>
      <c r="B764" s="2"/>
      <c r="C764" s="3"/>
      <c r="D764" s="3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1"/>
      <c r="B765" s="2"/>
      <c r="C765" s="3"/>
      <c r="D765" s="3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1"/>
      <c r="B766" s="2"/>
      <c r="C766" s="3"/>
      <c r="D766" s="3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1"/>
      <c r="B767" s="2"/>
      <c r="C767" s="3"/>
      <c r="D767" s="3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1"/>
      <c r="B768" s="2"/>
      <c r="C768" s="3"/>
      <c r="D768" s="3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1"/>
      <c r="B769" s="2"/>
      <c r="C769" s="3"/>
      <c r="D769" s="3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1"/>
      <c r="B770" s="2"/>
      <c r="C770" s="3"/>
      <c r="D770" s="3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1"/>
      <c r="B771" s="2"/>
      <c r="C771" s="3"/>
      <c r="D771" s="3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1"/>
      <c r="B772" s="2"/>
      <c r="C772" s="3"/>
      <c r="D772" s="3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1"/>
      <c r="B773" s="2"/>
      <c r="C773" s="3"/>
      <c r="D773" s="3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1"/>
      <c r="B774" s="2"/>
      <c r="C774" s="3"/>
      <c r="D774" s="3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1"/>
      <c r="B775" s="2"/>
      <c r="C775" s="3"/>
      <c r="D775" s="3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1"/>
      <c r="B776" s="2"/>
      <c r="C776" s="3"/>
      <c r="D776" s="3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1"/>
      <c r="B777" s="2"/>
      <c r="C777" s="3"/>
      <c r="D777" s="3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1"/>
      <c r="B778" s="2"/>
      <c r="C778" s="3"/>
      <c r="D778" s="3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1"/>
      <c r="B779" s="2"/>
      <c r="C779" s="3"/>
      <c r="D779" s="3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1"/>
      <c r="B780" s="2"/>
      <c r="C780" s="3"/>
      <c r="D780" s="3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1"/>
      <c r="B781" s="2"/>
      <c r="C781" s="3"/>
      <c r="D781" s="3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1"/>
      <c r="B782" s="2"/>
      <c r="C782" s="3"/>
      <c r="D782" s="3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1"/>
      <c r="B783" s="2"/>
      <c r="C783" s="3"/>
      <c r="D783" s="3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1"/>
      <c r="B784" s="2"/>
      <c r="C784" s="3"/>
      <c r="D784" s="3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1"/>
      <c r="B785" s="2"/>
      <c r="C785" s="3"/>
      <c r="D785" s="3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1"/>
      <c r="B786" s="2"/>
      <c r="C786" s="3"/>
      <c r="D786" s="3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1"/>
      <c r="B787" s="2"/>
      <c r="C787" s="3"/>
      <c r="D787" s="3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1"/>
      <c r="B788" s="2"/>
      <c r="C788" s="3"/>
      <c r="D788" s="3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1"/>
      <c r="B789" s="2"/>
      <c r="C789" s="3"/>
      <c r="D789" s="3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1"/>
      <c r="B790" s="2"/>
      <c r="C790" s="3"/>
      <c r="D790" s="3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1"/>
      <c r="B791" s="2"/>
      <c r="C791" s="3"/>
      <c r="D791" s="3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1"/>
      <c r="B792" s="2"/>
      <c r="C792" s="3"/>
      <c r="D792" s="3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1"/>
      <c r="B793" s="2"/>
      <c r="C793" s="3"/>
      <c r="D793" s="3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1"/>
      <c r="B794" s="2"/>
      <c r="C794" s="3"/>
      <c r="D794" s="3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1"/>
      <c r="B795" s="2"/>
      <c r="C795" s="3"/>
      <c r="D795" s="3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1"/>
      <c r="B796" s="2"/>
      <c r="C796" s="3"/>
      <c r="D796" s="3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1"/>
      <c r="B797" s="2"/>
      <c r="C797" s="3"/>
      <c r="D797" s="3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1"/>
      <c r="B798" s="2"/>
      <c r="C798" s="3"/>
      <c r="D798" s="3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1"/>
      <c r="B799" s="2"/>
      <c r="C799" s="3"/>
      <c r="D799" s="3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1"/>
      <c r="B800" s="2"/>
      <c r="C800" s="3"/>
      <c r="D800" s="3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1"/>
      <c r="B801" s="2"/>
      <c r="C801" s="3"/>
      <c r="D801" s="3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1"/>
      <c r="B802" s="2"/>
      <c r="C802" s="3"/>
      <c r="D802" s="3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1"/>
      <c r="B803" s="2"/>
      <c r="C803" s="3"/>
      <c r="D803" s="3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1"/>
      <c r="B804" s="2"/>
      <c r="C804" s="3"/>
      <c r="D804" s="3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1"/>
      <c r="B805" s="2"/>
      <c r="C805" s="3"/>
      <c r="D805" s="3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1"/>
      <c r="B806" s="2"/>
      <c r="C806" s="3"/>
      <c r="D806" s="3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1"/>
      <c r="B807" s="2"/>
      <c r="C807" s="3"/>
      <c r="D807" s="3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1"/>
      <c r="B808" s="2"/>
      <c r="C808" s="3"/>
      <c r="D808" s="3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1"/>
      <c r="B809" s="2"/>
      <c r="C809" s="3"/>
      <c r="D809" s="3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1"/>
      <c r="B810" s="2"/>
      <c r="C810" s="3"/>
      <c r="D810" s="3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1"/>
      <c r="B811" s="2"/>
      <c r="C811" s="3"/>
      <c r="D811" s="3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1"/>
      <c r="B812" s="2"/>
      <c r="C812" s="3"/>
      <c r="D812" s="3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1"/>
      <c r="B813" s="2"/>
      <c r="C813" s="3"/>
      <c r="D813" s="3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1"/>
      <c r="B814" s="2"/>
      <c r="C814" s="3"/>
      <c r="D814" s="3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1"/>
      <c r="B815" s="2"/>
      <c r="C815" s="3"/>
      <c r="D815" s="3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1"/>
      <c r="B816" s="2"/>
      <c r="C816" s="3"/>
      <c r="D816" s="3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1"/>
      <c r="B817" s="2"/>
      <c r="C817" s="3"/>
      <c r="D817" s="3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1"/>
      <c r="B818" s="2"/>
      <c r="C818" s="3"/>
      <c r="D818" s="3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1"/>
      <c r="B819" s="2"/>
      <c r="C819" s="3"/>
      <c r="D819" s="3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1"/>
      <c r="B820" s="2"/>
      <c r="C820" s="3"/>
      <c r="D820" s="3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1"/>
      <c r="B821" s="2"/>
      <c r="C821" s="3"/>
      <c r="D821" s="3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1"/>
      <c r="B822" s="2"/>
      <c r="C822" s="3"/>
      <c r="D822" s="3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1"/>
      <c r="B823" s="2"/>
      <c r="C823" s="3"/>
      <c r="D823" s="3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1"/>
      <c r="B824" s="2"/>
      <c r="C824" s="3"/>
      <c r="D824" s="3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1"/>
      <c r="B825" s="2"/>
      <c r="C825" s="3"/>
      <c r="D825" s="3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1"/>
      <c r="B826" s="2"/>
      <c r="C826" s="3"/>
      <c r="D826" s="3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1"/>
      <c r="B827" s="2"/>
      <c r="C827" s="3"/>
      <c r="D827" s="3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1"/>
      <c r="B828" s="2"/>
      <c r="C828" s="3"/>
      <c r="D828" s="3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1"/>
      <c r="B829" s="2"/>
      <c r="C829" s="3"/>
      <c r="D829" s="3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1"/>
      <c r="B830" s="2"/>
      <c r="C830" s="3"/>
      <c r="D830" s="3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1"/>
      <c r="B831" s="2"/>
      <c r="C831" s="3"/>
      <c r="D831" s="3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1"/>
      <c r="B832" s="2"/>
      <c r="C832" s="3"/>
      <c r="D832" s="3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1"/>
      <c r="B833" s="2"/>
      <c r="C833" s="3"/>
      <c r="D833" s="3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1"/>
      <c r="B834" s="2"/>
      <c r="C834" s="3"/>
      <c r="D834" s="3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1"/>
      <c r="B835" s="2"/>
      <c r="C835" s="3"/>
      <c r="D835" s="3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1"/>
      <c r="B836" s="2"/>
      <c r="C836" s="3"/>
      <c r="D836" s="3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1"/>
      <c r="B837" s="2"/>
      <c r="C837" s="3"/>
      <c r="D837" s="3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1"/>
      <c r="B838" s="2"/>
      <c r="C838" s="3"/>
      <c r="D838" s="3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1"/>
      <c r="B839" s="2"/>
      <c r="C839" s="3"/>
      <c r="D839" s="3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1"/>
      <c r="B840" s="2"/>
      <c r="C840" s="3"/>
      <c r="D840" s="3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1"/>
      <c r="B841" s="2"/>
      <c r="C841" s="3"/>
      <c r="D841" s="3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1"/>
      <c r="B842" s="2"/>
      <c r="C842" s="3"/>
      <c r="D842" s="3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1"/>
      <c r="B843" s="2"/>
      <c r="C843" s="3"/>
      <c r="D843" s="3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1"/>
      <c r="B844" s="2"/>
      <c r="C844" s="3"/>
      <c r="D844" s="3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1"/>
      <c r="B845" s="2"/>
      <c r="C845" s="3"/>
      <c r="D845" s="3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1"/>
      <c r="B846" s="2"/>
      <c r="C846" s="3"/>
      <c r="D846" s="3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1"/>
      <c r="B847" s="2"/>
      <c r="C847" s="3"/>
      <c r="D847" s="3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1"/>
      <c r="B848" s="2"/>
      <c r="C848" s="3"/>
      <c r="D848" s="3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1"/>
      <c r="B849" s="2"/>
      <c r="C849" s="3"/>
      <c r="D849" s="3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1"/>
      <c r="B850" s="2"/>
      <c r="C850" s="3"/>
      <c r="D850" s="3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1"/>
      <c r="B851" s="2"/>
      <c r="C851" s="3"/>
      <c r="D851" s="3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1"/>
      <c r="B852" s="2"/>
      <c r="C852" s="3"/>
      <c r="D852" s="3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1"/>
      <c r="B853" s="2"/>
      <c r="C853" s="3"/>
      <c r="D853" s="3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1"/>
      <c r="B854" s="2"/>
      <c r="C854" s="3"/>
      <c r="D854" s="3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1"/>
      <c r="B855" s="2"/>
      <c r="C855" s="3"/>
      <c r="D855" s="3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1"/>
      <c r="B856" s="2"/>
      <c r="C856" s="3"/>
      <c r="D856" s="3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1"/>
      <c r="B857" s="2"/>
      <c r="C857" s="3"/>
      <c r="D857" s="3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1"/>
      <c r="B858" s="2"/>
      <c r="C858" s="3"/>
      <c r="D858" s="3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1"/>
      <c r="B859" s="2"/>
      <c r="C859" s="3"/>
      <c r="D859" s="3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1"/>
      <c r="B860" s="2"/>
      <c r="C860" s="3"/>
      <c r="D860" s="3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1"/>
      <c r="B861" s="2"/>
      <c r="C861" s="3"/>
      <c r="D861" s="3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1"/>
      <c r="B862" s="2"/>
      <c r="C862" s="3"/>
      <c r="D862" s="3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1"/>
      <c r="B863" s="2"/>
      <c r="C863" s="3"/>
      <c r="D863" s="3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1"/>
      <c r="B864" s="2"/>
      <c r="C864" s="3"/>
      <c r="D864" s="3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1"/>
      <c r="B865" s="2"/>
      <c r="C865" s="3"/>
      <c r="D865" s="3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1"/>
      <c r="B866" s="2"/>
      <c r="C866" s="3"/>
      <c r="D866" s="3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1"/>
      <c r="B867" s="2"/>
      <c r="C867" s="3"/>
      <c r="D867" s="3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1"/>
      <c r="B868" s="2"/>
      <c r="C868" s="3"/>
      <c r="D868" s="3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1"/>
      <c r="B869" s="2"/>
      <c r="C869" s="3"/>
      <c r="D869" s="3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1"/>
      <c r="B870" s="2"/>
      <c r="C870" s="3"/>
      <c r="D870" s="3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1"/>
      <c r="B871" s="2"/>
      <c r="C871" s="3"/>
      <c r="D871" s="3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1"/>
      <c r="B872" s="2"/>
      <c r="C872" s="3"/>
      <c r="D872" s="3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1"/>
      <c r="B873" s="2"/>
      <c r="C873" s="3"/>
      <c r="D873" s="3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1"/>
      <c r="B874" s="2"/>
      <c r="C874" s="3"/>
      <c r="D874" s="3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1"/>
      <c r="B875" s="2"/>
      <c r="C875" s="3"/>
      <c r="D875" s="3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1"/>
      <c r="B876" s="2"/>
      <c r="C876" s="3"/>
      <c r="D876" s="3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1"/>
      <c r="B877" s="2"/>
      <c r="C877" s="3"/>
      <c r="D877" s="3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1"/>
      <c r="B878" s="2"/>
      <c r="C878" s="3"/>
      <c r="D878" s="3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1"/>
      <c r="B879" s="2"/>
      <c r="C879" s="3"/>
      <c r="D879" s="3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1"/>
      <c r="B880" s="2"/>
      <c r="C880" s="3"/>
      <c r="D880" s="3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1"/>
      <c r="B881" s="2"/>
      <c r="C881" s="3"/>
      <c r="D881" s="3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1"/>
      <c r="B882" s="2"/>
      <c r="C882" s="3"/>
      <c r="D882" s="3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1"/>
      <c r="B883" s="2"/>
      <c r="C883" s="3"/>
      <c r="D883" s="3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1"/>
      <c r="B884" s="2"/>
      <c r="C884" s="3"/>
      <c r="D884" s="3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1"/>
      <c r="B885" s="2"/>
      <c r="C885" s="3"/>
      <c r="D885" s="3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1"/>
      <c r="B886" s="2"/>
      <c r="C886" s="3"/>
      <c r="D886" s="3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1"/>
      <c r="B887" s="2"/>
      <c r="C887" s="3"/>
      <c r="D887" s="3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1"/>
      <c r="B888" s="2"/>
      <c r="C888" s="3"/>
      <c r="D888" s="3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1"/>
      <c r="B889" s="2"/>
      <c r="C889" s="3"/>
      <c r="D889" s="3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1"/>
      <c r="B890" s="2"/>
      <c r="C890" s="3"/>
      <c r="D890" s="3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1"/>
      <c r="B891" s="2"/>
      <c r="C891" s="3"/>
      <c r="D891" s="3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1"/>
      <c r="B892" s="2"/>
      <c r="C892" s="3"/>
      <c r="D892" s="3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1"/>
      <c r="B893" s="2"/>
      <c r="C893" s="3"/>
      <c r="D893" s="3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1"/>
      <c r="B894" s="2"/>
      <c r="C894" s="3"/>
      <c r="D894" s="3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1"/>
      <c r="B895" s="2"/>
      <c r="C895" s="3"/>
      <c r="D895" s="3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1"/>
      <c r="B896" s="2"/>
      <c r="C896" s="3"/>
      <c r="D896" s="3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1"/>
      <c r="B897" s="2"/>
      <c r="C897" s="3"/>
      <c r="D897" s="3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1"/>
      <c r="B898" s="2"/>
      <c r="C898" s="3"/>
      <c r="D898" s="3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1"/>
      <c r="B899" s="2"/>
      <c r="C899" s="3"/>
      <c r="D899" s="3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1"/>
      <c r="B900" s="2"/>
      <c r="C900" s="3"/>
      <c r="D900" s="3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1"/>
      <c r="B901" s="2"/>
      <c r="C901" s="3"/>
      <c r="D901" s="3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1"/>
      <c r="B902" s="2"/>
      <c r="C902" s="3"/>
      <c r="D902" s="3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1"/>
      <c r="B903" s="2"/>
      <c r="C903" s="3"/>
      <c r="D903" s="3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1"/>
      <c r="B904" s="2"/>
      <c r="C904" s="3"/>
      <c r="D904" s="3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1"/>
      <c r="B905" s="2"/>
      <c r="C905" s="3"/>
      <c r="D905" s="3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1"/>
      <c r="B906" s="2"/>
      <c r="C906" s="3"/>
      <c r="D906" s="3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1"/>
      <c r="B907" s="2"/>
      <c r="C907" s="3"/>
      <c r="D907" s="3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1"/>
      <c r="B908" s="2"/>
      <c r="C908" s="3"/>
      <c r="D908" s="3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1"/>
      <c r="B909" s="2"/>
      <c r="C909" s="3"/>
      <c r="D909" s="3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1"/>
      <c r="B910" s="2"/>
      <c r="C910" s="3"/>
      <c r="D910" s="3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1"/>
      <c r="B911" s="2"/>
      <c r="C911" s="3"/>
      <c r="D911" s="3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1"/>
      <c r="B912" s="2"/>
      <c r="C912" s="3"/>
      <c r="D912" s="3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1"/>
      <c r="B913" s="2"/>
      <c r="C913" s="3"/>
      <c r="D913" s="3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1"/>
      <c r="B914" s="2"/>
      <c r="C914" s="3"/>
      <c r="D914" s="3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1"/>
      <c r="B915" s="2"/>
      <c r="C915" s="3"/>
      <c r="D915" s="3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1"/>
      <c r="B916" s="2"/>
      <c r="C916" s="3"/>
      <c r="D916" s="3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1"/>
      <c r="B917" s="2"/>
      <c r="C917" s="3"/>
      <c r="D917" s="3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1"/>
      <c r="B918" s="2"/>
      <c r="C918" s="3"/>
      <c r="D918" s="3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1"/>
      <c r="B919" s="2"/>
      <c r="C919" s="3"/>
      <c r="D919" s="3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1"/>
      <c r="B920" s="2"/>
      <c r="C920" s="3"/>
      <c r="D920" s="3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1"/>
      <c r="B921" s="2"/>
      <c r="C921" s="3"/>
      <c r="D921" s="3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1"/>
      <c r="B922" s="2"/>
      <c r="C922" s="3"/>
      <c r="D922" s="3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1"/>
      <c r="B923" s="2"/>
      <c r="C923" s="3"/>
      <c r="D923" s="3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1"/>
      <c r="B924" s="2"/>
      <c r="C924" s="3"/>
      <c r="D924" s="3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1"/>
      <c r="B925" s="2"/>
      <c r="C925" s="3"/>
      <c r="D925" s="3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1"/>
      <c r="B926" s="2"/>
      <c r="C926" s="3"/>
      <c r="D926" s="3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1"/>
      <c r="B927" s="2"/>
      <c r="C927" s="3"/>
      <c r="D927" s="3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1"/>
      <c r="B928" s="2"/>
      <c r="C928" s="3"/>
      <c r="D928" s="3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1"/>
      <c r="B929" s="2"/>
      <c r="C929" s="3"/>
      <c r="D929" s="3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1"/>
      <c r="B930" s="2"/>
      <c r="C930" s="3"/>
      <c r="D930" s="3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1"/>
      <c r="B931" s="2"/>
      <c r="C931" s="3"/>
      <c r="D931" s="3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1"/>
      <c r="B932" s="2"/>
      <c r="C932" s="3"/>
      <c r="D932" s="3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1"/>
      <c r="B933" s="2"/>
      <c r="C933" s="3"/>
      <c r="D933" s="3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1"/>
      <c r="B934" s="2"/>
      <c r="C934" s="3"/>
      <c r="D934" s="3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1"/>
      <c r="B935" s="2"/>
      <c r="C935" s="3"/>
      <c r="D935" s="3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1"/>
      <c r="B936" s="2"/>
      <c r="C936" s="3"/>
      <c r="D936" s="3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1"/>
      <c r="B937" s="2"/>
      <c r="C937" s="3"/>
      <c r="D937" s="3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1"/>
      <c r="B938" s="2"/>
      <c r="C938" s="3"/>
      <c r="D938" s="3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1"/>
      <c r="B939" s="2"/>
      <c r="C939" s="3"/>
      <c r="D939" s="3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1"/>
      <c r="B940" s="2"/>
      <c r="C940" s="3"/>
      <c r="D940" s="3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1"/>
      <c r="B941" s="2"/>
      <c r="C941" s="3"/>
      <c r="D941" s="3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1"/>
      <c r="B942" s="2"/>
      <c r="C942" s="3"/>
      <c r="D942" s="3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1"/>
      <c r="B943" s="2"/>
      <c r="C943" s="3"/>
      <c r="D943" s="3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1"/>
      <c r="B944" s="2"/>
      <c r="C944" s="3"/>
      <c r="D944" s="3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1"/>
      <c r="B945" s="2"/>
      <c r="C945" s="3"/>
      <c r="D945" s="3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1"/>
      <c r="B946" s="2"/>
      <c r="C946" s="3"/>
      <c r="D946" s="3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1"/>
      <c r="B947" s="2"/>
      <c r="C947" s="3"/>
      <c r="D947" s="3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1"/>
      <c r="B948" s="2"/>
      <c r="C948" s="3"/>
      <c r="D948" s="3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1"/>
      <c r="B949" s="2"/>
      <c r="C949" s="3"/>
      <c r="D949" s="3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1"/>
      <c r="B950" s="2"/>
      <c r="C950" s="3"/>
      <c r="D950" s="3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1"/>
      <c r="B951" s="2"/>
      <c r="C951" s="3"/>
      <c r="D951" s="3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1"/>
      <c r="B952" s="2"/>
      <c r="C952" s="3"/>
      <c r="D952" s="3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1"/>
      <c r="B953" s="2"/>
      <c r="C953" s="3"/>
      <c r="D953" s="3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1"/>
      <c r="B954" s="2"/>
      <c r="C954" s="3"/>
      <c r="D954" s="3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1"/>
      <c r="B955" s="2"/>
      <c r="C955" s="3"/>
      <c r="D955" s="3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1"/>
      <c r="B956" s="2"/>
      <c r="C956" s="3"/>
      <c r="D956" s="3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1"/>
      <c r="B957" s="2"/>
      <c r="C957" s="3"/>
      <c r="D957" s="3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1"/>
      <c r="B958" s="2"/>
      <c r="C958" s="3"/>
      <c r="D958" s="3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1"/>
      <c r="B959" s="2"/>
      <c r="C959" s="3"/>
      <c r="D959" s="3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1"/>
      <c r="B960" s="2"/>
      <c r="C960" s="3"/>
      <c r="D960" s="3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1"/>
      <c r="B961" s="2"/>
      <c r="C961" s="3"/>
      <c r="D961" s="3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1"/>
      <c r="B962" s="2"/>
      <c r="C962" s="3"/>
      <c r="D962" s="3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1"/>
      <c r="B963" s="2"/>
      <c r="C963" s="3"/>
      <c r="D963" s="3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1"/>
      <c r="B964" s="2"/>
      <c r="C964" s="3"/>
      <c r="D964" s="3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1"/>
      <c r="B965" s="2"/>
      <c r="C965" s="3"/>
      <c r="D965" s="3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1"/>
      <c r="B966" s="2"/>
      <c r="C966" s="3"/>
      <c r="D966" s="3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1"/>
      <c r="B967" s="2"/>
      <c r="C967" s="3"/>
      <c r="D967" s="3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1"/>
      <c r="B968" s="2"/>
      <c r="C968" s="3"/>
      <c r="D968" s="3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1"/>
      <c r="B969" s="2"/>
      <c r="C969" s="3"/>
      <c r="D969" s="3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1"/>
      <c r="B970" s="2"/>
      <c r="C970" s="3"/>
      <c r="D970" s="3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1"/>
      <c r="B971" s="2"/>
      <c r="C971" s="3"/>
      <c r="D971" s="3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1"/>
      <c r="B972" s="2"/>
      <c r="C972" s="3"/>
      <c r="D972" s="3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1"/>
      <c r="B973" s="2"/>
      <c r="C973" s="3"/>
      <c r="D973" s="3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1"/>
      <c r="B974" s="2"/>
      <c r="C974" s="3"/>
      <c r="D974" s="3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1"/>
      <c r="B975" s="2"/>
      <c r="C975" s="3"/>
      <c r="D975" s="3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1"/>
      <c r="B976" s="2"/>
      <c r="C976" s="3"/>
      <c r="D976" s="3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1"/>
      <c r="B977" s="2"/>
      <c r="C977" s="3"/>
      <c r="D977" s="3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1"/>
      <c r="B978" s="2"/>
      <c r="C978" s="3"/>
      <c r="D978" s="3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1"/>
      <c r="B979" s="2"/>
      <c r="C979" s="3"/>
      <c r="D979" s="3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1"/>
      <c r="B980" s="2"/>
      <c r="C980" s="3"/>
      <c r="D980" s="3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1"/>
      <c r="B981" s="2"/>
      <c r="C981" s="3"/>
      <c r="D981" s="3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1"/>
      <c r="B982" s="2"/>
      <c r="C982" s="3"/>
      <c r="D982" s="3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1"/>
      <c r="B983" s="2"/>
      <c r="C983" s="3"/>
      <c r="D983" s="3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1"/>
      <c r="B984" s="2"/>
      <c r="C984" s="3"/>
      <c r="D984" s="3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1"/>
      <c r="B985" s="2"/>
      <c r="C985" s="3"/>
      <c r="D985" s="3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1"/>
      <c r="B986" s="2"/>
      <c r="C986" s="3"/>
      <c r="D986" s="3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1"/>
      <c r="B987" s="2"/>
      <c r="C987" s="3"/>
      <c r="D987" s="3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">
      <c r="A988" s="1"/>
      <c r="B988" s="2"/>
      <c r="C988" s="3"/>
      <c r="D988" s="3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">
      <c r="A989" s="1"/>
      <c r="B989" s="2"/>
      <c r="C989" s="3"/>
      <c r="D989" s="3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">
      <c r="A990" s="1"/>
      <c r="B990" s="2"/>
      <c r="C990" s="3"/>
      <c r="D990" s="3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">
      <c r="A991" s="1"/>
      <c r="B991" s="2"/>
      <c r="C991" s="3"/>
      <c r="D991" s="3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">
      <c r="A992" s="1"/>
      <c r="B992" s="2"/>
      <c r="C992" s="3"/>
      <c r="D992" s="3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">
      <c r="A993" s="1"/>
      <c r="B993" s="2"/>
      <c r="C993" s="3"/>
      <c r="D993" s="3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">
      <c r="A994" s="1"/>
      <c r="B994" s="2"/>
      <c r="C994" s="3"/>
      <c r="D994" s="3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">
      <c r="A995" s="1"/>
      <c r="B995" s="2"/>
      <c r="C995" s="3"/>
      <c r="D995" s="3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">
      <c r="A996" s="1"/>
      <c r="B996" s="2"/>
      <c r="C996" s="3"/>
      <c r="D996" s="3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">
      <c r="A997" s="1"/>
      <c r="B997" s="2"/>
      <c r="C997" s="3"/>
      <c r="D997" s="3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">
      <c r="A998" s="1"/>
      <c r="B998" s="2"/>
      <c r="C998" s="3"/>
      <c r="D998" s="3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">
      <c r="A999" s="1"/>
      <c r="B999" s="2"/>
      <c r="C999" s="3"/>
      <c r="D999" s="3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">
      <c r="A1000" s="1"/>
      <c r="B1000" s="2"/>
      <c r="C1000" s="3"/>
      <c r="D1000" s="3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2:E2"/>
    <mergeCell ref="A12:E12"/>
    <mergeCell ref="A21:E21"/>
    <mergeCell ref="A30:E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7"/>
  <sheetViews>
    <sheetView workbookViewId="0"/>
  </sheetViews>
  <sheetFormatPr defaultColWidth="12.5703125" defaultRowHeight="15.75" customHeight="1" x14ac:dyDescent="0.2"/>
  <cols>
    <col min="1" max="1" width="23.28515625" customWidth="1"/>
    <col min="2" max="2" width="17.42578125" customWidth="1"/>
    <col min="3" max="3" width="16.42578125" customWidth="1"/>
    <col min="4" max="4" width="13.5703125" customWidth="1"/>
  </cols>
  <sheetData>
    <row r="1" spans="1:26" x14ac:dyDescent="0.2">
      <c r="A1" s="1"/>
      <c r="B1" s="2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94" t="s">
        <v>22</v>
      </c>
      <c r="B2" s="95"/>
      <c r="C2" s="95"/>
      <c r="D2" s="95"/>
      <c r="E2" s="9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14" t="s">
        <v>1</v>
      </c>
      <c r="B3" s="15" t="s">
        <v>2</v>
      </c>
      <c r="C3" s="16" t="s">
        <v>3</v>
      </c>
      <c r="D3" s="16" t="s">
        <v>4</v>
      </c>
      <c r="E3" s="15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7" t="s">
        <v>6</v>
      </c>
      <c r="B4" s="18" t="s">
        <v>23</v>
      </c>
      <c r="C4" s="19">
        <v>300</v>
      </c>
      <c r="D4" s="19">
        <v>5500</v>
      </c>
      <c r="E4" s="20">
        <f t="shared" ref="E4:E9" si="0">C4+D4</f>
        <v>5800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2">
      <c r="A5" s="21" t="s">
        <v>8</v>
      </c>
      <c r="B5" s="22" t="s">
        <v>24</v>
      </c>
      <c r="C5" s="23">
        <v>600</v>
      </c>
      <c r="D5" s="23">
        <v>6100</v>
      </c>
      <c r="E5" s="24">
        <f t="shared" si="0"/>
        <v>6700</v>
      </c>
      <c r="F5" s="12"/>
      <c r="G5" s="12"/>
      <c r="H5" s="25">
        <v>7600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x14ac:dyDescent="0.2">
      <c r="A6" s="17" t="s">
        <v>10</v>
      </c>
      <c r="B6" s="18" t="s">
        <v>25</v>
      </c>
      <c r="C6" s="19">
        <v>900</v>
      </c>
      <c r="D6" s="19">
        <v>6700</v>
      </c>
      <c r="E6" s="20">
        <f t="shared" si="0"/>
        <v>7600</v>
      </c>
      <c r="F6" s="12"/>
      <c r="G6" s="12"/>
      <c r="H6" s="25">
        <v>1350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x14ac:dyDescent="0.2">
      <c r="A7" s="21" t="s">
        <v>12</v>
      </c>
      <c r="B7" s="22" t="s">
        <v>26</v>
      </c>
      <c r="C7" s="23">
        <v>1200</v>
      </c>
      <c r="D7" s="23">
        <v>7300</v>
      </c>
      <c r="E7" s="24">
        <f t="shared" si="0"/>
        <v>8500</v>
      </c>
      <c r="F7" s="12"/>
      <c r="G7" s="12"/>
      <c r="H7" s="25">
        <f>SUM(H5:H6)</f>
        <v>8950</v>
      </c>
      <c r="I7" s="25"/>
      <c r="J7" s="12"/>
      <c r="K7" s="12"/>
      <c r="L7" s="25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2">
      <c r="A8" s="17" t="s">
        <v>14</v>
      </c>
      <c r="B8" s="18" t="s">
        <v>7</v>
      </c>
      <c r="C8" s="19">
        <v>1500</v>
      </c>
      <c r="D8" s="19">
        <v>7900</v>
      </c>
      <c r="E8" s="20">
        <f t="shared" si="0"/>
        <v>9400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x14ac:dyDescent="0.2">
      <c r="A9" s="21" t="s">
        <v>16</v>
      </c>
      <c r="B9" s="22" t="s">
        <v>9</v>
      </c>
      <c r="C9" s="23">
        <v>1800</v>
      </c>
      <c r="D9" s="23">
        <v>8500</v>
      </c>
      <c r="E9" s="24">
        <f t="shared" si="0"/>
        <v>10300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2">
      <c r="A10" s="26" t="s">
        <v>27</v>
      </c>
      <c r="B10" s="18" t="s">
        <v>28</v>
      </c>
      <c r="C10" s="19">
        <f>(C9+C11)/2</f>
        <v>2150</v>
      </c>
      <c r="D10" s="19">
        <v>8800</v>
      </c>
      <c r="E10" s="20">
        <f>D10+C10</f>
        <v>10950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27" t="s">
        <v>29</v>
      </c>
      <c r="B11" s="22" t="s">
        <v>11</v>
      </c>
      <c r="C11" s="23">
        <v>2500</v>
      </c>
      <c r="D11" s="23">
        <v>9100</v>
      </c>
      <c r="E11" s="24">
        <f>C11+D11</f>
        <v>11600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1"/>
      <c r="B12" s="2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28"/>
      <c r="B13" s="28"/>
      <c r="C13" s="28"/>
      <c r="D13" s="28"/>
      <c r="E13" s="2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97" t="s">
        <v>30</v>
      </c>
      <c r="B14" s="98"/>
      <c r="C14" s="98"/>
      <c r="D14" s="98"/>
      <c r="E14" s="99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14" t="s">
        <v>1</v>
      </c>
      <c r="B15" s="15" t="s">
        <v>2</v>
      </c>
      <c r="C15" s="16" t="s">
        <v>3</v>
      </c>
      <c r="D15" s="16" t="s">
        <v>4</v>
      </c>
      <c r="E15" s="15" t="s">
        <v>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29" t="s">
        <v>6</v>
      </c>
      <c r="B16" s="30" t="s">
        <v>23</v>
      </c>
      <c r="C16" s="31">
        <f t="shared" ref="C16:C21" si="1">C4-100</f>
        <v>200</v>
      </c>
      <c r="D16" s="31">
        <v>3750</v>
      </c>
      <c r="E16" s="32">
        <f t="shared" ref="E16:E21" si="2">C16+D16</f>
        <v>3950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21" t="s">
        <v>8</v>
      </c>
      <c r="B17" s="22" t="s">
        <v>24</v>
      </c>
      <c r="C17" s="23">
        <f t="shared" si="1"/>
        <v>500</v>
      </c>
      <c r="D17" s="23">
        <v>4150</v>
      </c>
      <c r="E17" s="24">
        <f t="shared" si="2"/>
        <v>4650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29" t="s">
        <v>10</v>
      </c>
      <c r="B18" s="30" t="s">
        <v>25</v>
      </c>
      <c r="C18" s="31">
        <f t="shared" si="1"/>
        <v>800</v>
      </c>
      <c r="D18" s="31">
        <v>4550</v>
      </c>
      <c r="E18" s="32">
        <f t="shared" si="2"/>
        <v>5350</v>
      </c>
      <c r="F18" s="4"/>
      <c r="G18" s="4"/>
      <c r="H18" s="13">
        <v>5150</v>
      </c>
      <c r="I18" s="13"/>
      <c r="J18" s="4"/>
      <c r="K18" s="4"/>
      <c r="L18" s="13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21" t="s">
        <v>12</v>
      </c>
      <c r="B19" s="22" t="s">
        <v>26</v>
      </c>
      <c r="C19" s="23">
        <f t="shared" si="1"/>
        <v>1100</v>
      </c>
      <c r="D19" s="23">
        <v>4950</v>
      </c>
      <c r="E19" s="24">
        <f t="shared" si="2"/>
        <v>6050</v>
      </c>
      <c r="F19" s="4"/>
      <c r="G19" s="4"/>
      <c r="H19" s="13">
        <v>1250</v>
      </c>
      <c r="I19" s="4"/>
      <c r="J19" s="1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29" t="s">
        <v>14</v>
      </c>
      <c r="B20" s="30" t="s">
        <v>7</v>
      </c>
      <c r="C20" s="31">
        <f t="shared" si="1"/>
        <v>1400</v>
      </c>
      <c r="D20" s="31">
        <v>5350</v>
      </c>
      <c r="E20" s="32">
        <f t="shared" si="2"/>
        <v>6750</v>
      </c>
      <c r="F20" s="4"/>
      <c r="G20" s="4"/>
      <c r="H20" s="4">
        <f>SUM(H18:H19)</f>
        <v>6400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21" t="s">
        <v>16</v>
      </c>
      <c r="B21" s="22" t="s">
        <v>9</v>
      </c>
      <c r="C21" s="23">
        <f t="shared" si="1"/>
        <v>1700</v>
      </c>
      <c r="D21" s="23">
        <v>5750</v>
      </c>
      <c r="E21" s="24">
        <f t="shared" si="2"/>
        <v>7450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33" t="s">
        <v>31</v>
      </c>
      <c r="B22" s="30" t="s">
        <v>28</v>
      </c>
      <c r="C22" s="31">
        <f>(C21+C23)/2</f>
        <v>2050</v>
      </c>
      <c r="D22" s="31">
        <v>5950</v>
      </c>
      <c r="E22" s="32">
        <f>D22+C22</f>
        <v>8000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27" t="s">
        <v>29</v>
      </c>
      <c r="B23" s="22" t="s">
        <v>11</v>
      </c>
      <c r="C23" s="23">
        <f>C11-100</f>
        <v>2400</v>
      </c>
      <c r="D23" s="23">
        <v>6150</v>
      </c>
      <c r="E23" s="24">
        <f>C23+D23</f>
        <v>8550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28"/>
      <c r="B24" s="28"/>
      <c r="C24" s="28"/>
      <c r="D24" s="28"/>
      <c r="E24" s="2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100" t="s">
        <v>32</v>
      </c>
      <c r="B25" s="101"/>
      <c r="C25" s="101"/>
      <c r="D25" s="101"/>
      <c r="E25" s="10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14" t="s">
        <v>1</v>
      </c>
      <c r="B26" s="15" t="s">
        <v>2</v>
      </c>
      <c r="C26" s="16" t="s">
        <v>20</v>
      </c>
      <c r="D26" s="16" t="s">
        <v>4</v>
      </c>
      <c r="E26" s="15" t="s">
        <v>5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34" t="s">
        <v>6</v>
      </c>
      <c r="B27" s="35" t="s">
        <v>23</v>
      </c>
      <c r="C27" s="36">
        <f t="shared" ref="C27:C32" si="3">C16</f>
        <v>200</v>
      </c>
      <c r="D27" s="36">
        <f>3800+H27</f>
        <v>3800</v>
      </c>
      <c r="E27" s="37">
        <f t="shared" ref="E27:E32" si="4">C27+D27</f>
        <v>4000</v>
      </c>
      <c r="F27" s="4"/>
      <c r="G27" s="4"/>
      <c r="H27" s="13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21" t="s">
        <v>8</v>
      </c>
      <c r="B28" s="22" t="s">
        <v>24</v>
      </c>
      <c r="C28" s="23">
        <f t="shared" si="3"/>
        <v>500</v>
      </c>
      <c r="D28" s="23">
        <v>4500</v>
      </c>
      <c r="E28" s="24">
        <f t="shared" si="4"/>
        <v>5000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34" t="s">
        <v>10</v>
      </c>
      <c r="B29" s="35" t="s">
        <v>25</v>
      </c>
      <c r="C29" s="36">
        <f t="shared" si="3"/>
        <v>800</v>
      </c>
      <c r="D29" s="36">
        <v>4900</v>
      </c>
      <c r="E29" s="37">
        <f t="shared" si="4"/>
        <v>5700</v>
      </c>
      <c r="F29" s="4"/>
      <c r="G29" s="4"/>
      <c r="H29" s="13"/>
      <c r="I29" s="13"/>
      <c r="J29" s="4"/>
      <c r="K29" s="4"/>
      <c r="L29" s="13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21" t="s">
        <v>12</v>
      </c>
      <c r="B30" s="22" t="s">
        <v>26</v>
      </c>
      <c r="C30" s="23">
        <f t="shared" si="3"/>
        <v>1100</v>
      </c>
      <c r="D30" s="23">
        <v>5300</v>
      </c>
      <c r="E30" s="24">
        <f t="shared" si="4"/>
        <v>6400</v>
      </c>
      <c r="F30" s="4"/>
      <c r="G30" s="4"/>
      <c r="H30" s="13">
        <v>5500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34" t="s">
        <v>14</v>
      </c>
      <c r="B31" s="35" t="s">
        <v>7</v>
      </c>
      <c r="C31" s="36">
        <f t="shared" si="3"/>
        <v>1400</v>
      </c>
      <c r="D31" s="36">
        <v>5700</v>
      </c>
      <c r="E31" s="37">
        <f t="shared" si="4"/>
        <v>7100</v>
      </c>
      <c r="F31" s="4"/>
      <c r="G31" s="4"/>
      <c r="H31" s="13">
        <v>1250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21" t="s">
        <v>16</v>
      </c>
      <c r="B32" s="22" t="s">
        <v>9</v>
      </c>
      <c r="C32" s="23">
        <f t="shared" si="3"/>
        <v>1700</v>
      </c>
      <c r="D32" s="23">
        <v>6100</v>
      </c>
      <c r="E32" s="24">
        <f t="shared" si="4"/>
        <v>7800</v>
      </c>
      <c r="F32" s="4"/>
      <c r="G32" s="4"/>
      <c r="H32" s="4">
        <f>SUM(H30:H31)</f>
        <v>6750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38" t="s">
        <v>33</v>
      </c>
      <c r="B33" s="39" t="s">
        <v>28</v>
      </c>
      <c r="C33" s="36">
        <f>(C32+C34)/2</f>
        <v>2050</v>
      </c>
      <c r="D33" s="40">
        <v>6300</v>
      </c>
      <c r="E33" s="37">
        <f>D33+C33</f>
        <v>8350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41" t="s">
        <v>29</v>
      </c>
      <c r="B34" s="42" t="s">
        <v>11</v>
      </c>
      <c r="C34" s="23">
        <f>C23</f>
        <v>2400</v>
      </c>
      <c r="D34" s="43">
        <v>6500</v>
      </c>
      <c r="E34" s="24">
        <f>C34+D34</f>
        <v>8900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28"/>
      <c r="B35" s="28"/>
      <c r="C35" s="28"/>
      <c r="D35" s="28"/>
      <c r="E35" s="2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103" t="s">
        <v>34</v>
      </c>
      <c r="B36" s="104"/>
      <c r="C36" s="104"/>
      <c r="D36" s="104"/>
      <c r="E36" s="10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4" t="s">
        <v>1</v>
      </c>
      <c r="B37" s="15" t="s">
        <v>2</v>
      </c>
      <c r="C37" s="16" t="s">
        <v>20</v>
      </c>
      <c r="D37" s="16" t="s">
        <v>4</v>
      </c>
      <c r="E37" s="15" t="s">
        <v>5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44" t="s">
        <v>6</v>
      </c>
      <c r="B38" s="45" t="s">
        <v>23</v>
      </c>
      <c r="C38" s="46">
        <f t="shared" ref="C38:C43" si="5">C27</f>
        <v>200</v>
      </c>
      <c r="D38" s="46">
        <v>2400</v>
      </c>
      <c r="E38" s="47">
        <f t="shared" ref="E38:E43" si="6">C38+D38</f>
        <v>2600</v>
      </c>
      <c r="F38" s="4"/>
      <c r="G38" s="4"/>
      <c r="H38" s="4"/>
      <c r="I38" s="4"/>
      <c r="J38" s="1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21" t="s">
        <v>8</v>
      </c>
      <c r="B39" s="22" t="s">
        <v>24</v>
      </c>
      <c r="C39" s="23">
        <f t="shared" si="5"/>
        <v>500</v>
      </c>
      <c r="D39" s="23">
        <v>2600</v>
      </c>
      <c r="E39" s="24">
        <f t="shared" si="6"/>
        <v>3100</v>
      </c>
      <c r="F39" s="4"/>
      <c r="G39" s="4"/>
      <c r="H39" s="13">
        <v>3100</v>
      </c>
      <c r="I39" s="4"/>
      <c r="J39" s="1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44" t="s">
        <v>10</v>
      </c>
      <c r="B40" s="45" t="s">
        <v>25</v>
      </c>
      <c r="C40" s="46">
        <f t="shared" si="5"/>
        <v>800</v>
      </c>
      <c r="D40" s="46">
        <v>2800</v>
      </c>
      <c r="E40" s="47">
        <f t="shared" si="6"/>
        <v>3600</v>
      </c>
      <c r="F40" s="4"/>
      <c r="G40" s="4"/>
      <c r="H40" s="13">
        <v>1250</v>
      </c>
      <c r="I40" s="4"/>
      <c r="J40" s="1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21" t="s">
        <v>12</v>
      </c>
      <c r="B41" s="22" t="s">
        <v>26</v>
      </c>
      <c r="C41" s="23">
        <f t="shared" si="5"/>
        <v>1100</v>
      </c>
      <c r="D41" s="23">
        <v>3000</v>
      </c>
      <c r="E41" s="24">
        <f t="shared" si="6"/>
        <v>4100</v>
      </c>
      <c r="F41" s="4"/>
      <c r="G41" s="4"/>
      <c r="H41" s="4">
        <f>SUM(H39:H40)</f>
        <v>4350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44" t="s">
        <v>14</v>
      </c>
      <c r="B42" s="45" t="s">
        <v>7</v>
      </c>
      <c r="C42" s="46">
        <f t="shared" si="5"/>
        <v>1400</v>
      </c>
      <c r="D42" s="46">
        <v>3200</v>
      </c>
      <c r="E42" s="47">
        <f t="shared" si="6"/>
        <v>4600</v>
      </c>
      <c r="F42" s="4"/>
      <c r="G42" s="4"/>
      <c r="H42" s="13"/>
      <c r="I42" s="13"/>
      <c r="J42" s="4"/>
      <c r="K42" s="4"/>
      <c r="L42" s="13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21" t="s">
        <v>16</v>
      </c>
      <c r="B43" s="22" t="s">
        <v>9</v>
      </c>
      <c r="C43" s="23">
        <f t="shared" si="5"/>
        <v>1700</v>
      </c>
      <c r="D43" s="23">
        <v>3400</v>
      </c>
      <c r="E43" s="24">
        <f t="shared" si="6"/>
        <v>5100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48" t="s">
        <v>33</v>
      </c>
      <c r="B44" s="49" t="s">
        <v>28</v>
      </c>
      <c r="C44" s="46">
        <f>(C42+C45)/2</f>
        <v>1900</v>
      </c>
      <c r="D44" s="50">
        <v>3500</v>
      </c>
      <c r="E44" s="47">
        <f>D44+C44</f>
        <v>5400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41" t="s">
        <v>29</v>
      </c>
      <c r="B45" s="42" t="s">
        <v>11</v>
      </c>
      <c r="C45" s="23">
        <f>C34</f>
        <v>2400</v>
      </c>
      <c r="D45" s="43">
        <v>3600</v>
      </c>
      <c r="E45" s="24">
        <f>C45+D45</f>
        <v>6000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1"/>
      <c r="B46" s="2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1"/>
      <c r="B47" s="2"/>
      <c r="C47" s="3"/>
      <c r="D47" s="3"/>
      <c r="E47" s="4"/>
      <c r="F47" s="4"/>
      <c r="G47" s="4"/>
      <c r="H47" s="13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1"/>
      <c r="B48" s="2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1"/>
      <c r="B49" s="2"/>
      <c r="C49" s="3"/>
      <c r="D49" s="3"/>
      <c r="E49" s="1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1"/>
      <c r="B50" s="2"/>
      <c r="C50" s="3"/>
      <c r="D50" s="3"/>
      <c r="E50" s="1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1"/>
      <c r="B51" s="2"/>
      <c r="C51" s="3"/>
      <c r="D51" s="3"/>
      <c r="E51" s="1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1"/>
      <c r="B52" s="2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1"/>
      <c r="B53" s="2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1"/>
      <c r="B54" s="2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1"/>
      <c r="B55" s="2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1"/>
      <c r="B56" s="2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1"/>
      <c r="B57" s="2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1"/>
      <c r="B58" s="2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1"/>
      <c r="B59" s="2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1"/>
      <c r="B60" s="2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1"/>
      <c r="B61" s="2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1"/>
      <c r="B62" s="2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1"/>
      <c r="B63" s="2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1"/>
      <c r="B64" s="2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1"/>
      <c r="B65" s="2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1"/>
      <c r="B66" s="51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1"/>
      <c r="B67" s="52" t="s">
        <v>35</v>
      </c>
      <c r="C67" s="53" t="s">
        <v>36</v>
      </c>
      <c r="D67" s="54">
        <v>10000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1"/>
      <c r="B68" s="55"/>
      <c r="C68" s="53" t="s">
        <v>37</v>
      </c>
      <c r="D68" s="54">
        <v>12000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1"/>
      <c r="B69" s="52" t="s">
        <v>38</v>
      </c>
      <c r="C69" s="53" t="s">
        <v>39</v>
      </c>
      <c r="D69" s="54">
        <v>50000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1"/>
      <c r="B70" s="55"/>
      <c r="C70" s="53" t="s">
        <v>40</v>
      </c>
      <c r="D70" s="54">
        <v>20000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1"/>
      <c r="B71" s="56" t="s">
        <v>41</v>
      </c>
      <c r="C71" s="53" t="s">
        <v>42</v>
      </c>
      <c r="D71" s="54">
        <v>15000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1"/>
      <c r="B72" s="55"/>
      <c r="C72" s="53" t="s">
        <v>43</v>
      </c>
      <c r="D72" s="54">
        <v>12000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1"/>
      <c r="B73" s="52" t="s">
        <v>44</v>
      </c>
      <c r="C73" s="53" t="s">
        <v>45</v>
      </c>
      <c r="D73" s="54">
        <v>500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1"/>
      <c r="B74" s="52" t="s">
        <v>46</v>
      </c>
      <c r="C74" s="53" t="s">
        <v>47</v>
      </c>
      <c r="D74" s="54">
        <v>1500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1"/>
      <c r="B75" s="52" t="s">
        <v>48</v>
      </c>
      <c r="C75" s="53" t="s">
        <v>45</v>
      </c>
      <c r="D75" s="54">
        <v>500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1"/>
      <c r="B76" s="2"/>
      <c r="C76" s="57" t="s">
        <v>49</v>
      </c>
      <c r="D76" s="58">
        <f>SUM(D67:D75)</f>
        <v>121500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1"/>
      <c r="B77" s="2"/>
      <c r="C77" s="3"/>
      <c r="D77" s="3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1"/>
      <c r="B78" s="2"/>
      <c r="C78" s="3"/>
      <c r="D78" s="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1"/>
      <c r="B79" s="2"/>
      <c r="C79" s="3"/>
      <c r="D79" s="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1"/>
      <c r="B80" s="2"/>
      <c r="C80" s="3"/>
      <c r="D80" s="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1"/>
      <c r="B81" s="2"/>
      <c r="C81" s="3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1"/>
      <c r="B82" s="2"/>
      <c r="C82" s="3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1"/>
      <c r="B83" s="2"/>
      <c r="C83" s="3"/>
      <c r="D83" s="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1"/>
      <c r="B84" s="2"/>
      <c r="C84" s="3"/>
      <c r="D84" s="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1"/>
      <c r="B85" s="2"/>
      <c r="C85" s="3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1"/>
      <c r="B86" s="2"/>
      <c r="C86" s="3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1"/>
      <c r="B87" s="2"/>
      <c r="C87" s="3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1"/>
      <c r="B88" s="2"/>
      <c r="C88" s="3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1"/>
      <c r="B89" s="2"/>
      <c r="C89" s="3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1"/>
      <c r="B90" s="2"/>
      <c r="C90" s="3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1"/>
      <c r="B91" s="2"/>
      <c r="C91" s="3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1"/>
      <c r="B92" s="2"/>
      <c r="C92" s="3"/>
      <c r="D92" s="3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1"/>
      <c r="B93" s="2"/>
      <c r="C93" s="3"/>
      <c r="D93" s="3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1"/>
      <c r="B94" s="2"/>
      <c r="C94" s="3"/>
      <c r="D94" s="3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1"/>
      <c r="B95" s="2"/>
      <c r="C95" s="3"/>
      <c r="D95" s="3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1"/>
      <c r="B96" s="2"/>
      <c r="C96" s="3"/>
      <c r="D96" s="3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1"/>
      <c r="B97" s="2"/>
      <c r="C97" s="3"/>
      <c r="D97" s="3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1"/>
      <c r="B98" s="2"/>
      <c r="C98" s="3"/>
      <c r="D98" s="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1"/>
      <c r="B99" s="2"/>
      <c r="C99" s="3"/>
      <c r="D99" s="3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1"/>
      <c r="B100" s="2"/>
      <c r="C100" s="3"/>
      <c r="D100" s="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1"/>
      <c r="B101" s="2"/>
      <c r="C101" s="3"/>
      <c r="D101" s="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1"/>
      <c r="B102" s="2"/>
      <c r="C102" s="3"/>
      <c r="D102" s="3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1"/>
      <c r="B103" s="2"/>
      <c r="C103" s="3"/>
      <c r="D103" s="3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1"/>
      <c r="B104" s="2"/>
      <c r="C104" s="3"/>
      <c r="D104" s="3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1"/>
      <c r="B105" s="2"/>
      <c r="C105" s="3"/>
      <c r="D105" s="3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1"/>
      <c r="B106" s="2"/>
      <c r="C106" s="3"/>
      <c r="D106" s="3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1"/>
      <c r="B107" s="2"/>
      <c r="C107" s="3"/>
      <c r="D107" s="3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1"/>
      <c r="B108" s="2"/>
      <c r="C108" s="3"/>
      <c r="D108" s="3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1"/>
      <c r="B109" s="2"/>
      <c r="C109" s="3"/>
      <c r="D109" s="3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1"/>
      <c r="B110" s="2"/>
      <c r="C110" s="3"/>
      <c r="D110" s="3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1"/>
      <c r="B111" s="2"/>
      <c r="C111" s="3"/>
      <c r="D111" s="3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1"/>
      <c r="B112" s="2"/>
      <c r="C112" s="3"/>
      <c r="D112" s="3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1"/>
      <c r="B113" s="2"/>
      <c r="C113" s="3"/>
      <c r="D113" s="3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1"/>
      <c r="B114" s="2"/>
      <c r="C114" s="3"/>
      <c r="D114" s="3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1"/>
      <c r="B115" s="2"/>
      <c r="C115" s="3"/>
      <c r="D115" s="3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1"/>
      <c r="B116" s="2"/>
      <c r="C116" s="3"/>
      <c r="D116" s="3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1"/>
      <c r="B117" s="2"/>
      <c r="C117" s="3"/>
      <c r="D117" s="3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1"/>
      <c r="B118" s="2"/>
      <c r="C118" s="3"/>
      <c r="D118" s="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1"/>
      <c r="B119" s="2"/>
      <c r="C119" s="3"/>
      <c r="D119" s="3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1"/>
      <c r="B120" s="2"/>
      <c r="C120" s="3"/>
      <c r="D120" s="3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1"/>
      <c r="B121" s="2"/>
      <c r="C121" s="3"/>
      <c r="D121" s="3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1"/>
      <c r="B122" s="2"/>
      <c r="C122" s="3"/>
      <c r="D122" s="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1"/>
      <c r="B123" s="2"/>
      <c r="C123" s="3"/>
      <c r="D123" s="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1"/>
      <c r="B124" s="2"/>
      <c r="C124" s="3"/>
      <c r="D124" s="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1"/>
      <c r="B125" s="2"/>
      <c r="C125" s="3"/>
      <c r="D125" s="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1"/>
      <c r="B126" s="2"/>
      <c r="C126" s="3"/>
      <c r="D126" s="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1"/>
      <c r="B127" s="2"/>
      <c r="C127" s="3"/>
      <c r="D127" s="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1"/>
      <c r="B128" s="2"/>
      <c r="C128" s="3"/>
      <c r="D128" s="3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1"/>
      <c r="B129" s="2"/>
      <c r="C129" s="3"/>
      <c r="D129" s="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1"/>
      <c r="B130" s="2"/>
      <c r="C130" s="3"/>
      <c r="D130" s="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1"/>
      <c r="B131" s="2"/>
      <c r="C131" s="3"/>
      <c r="D131" s="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1"/>
      <c r="B132" s="2"/>
      <c r="C132" s="3"/>
      <c r="D132" s="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1"/>
      <c r="B133" s="2"/>
      <c r="C133" s="3"/>
      <c r="D133" s="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1"/>
      <c r="B134" s="2"/>
      <c r="C134" s="3"/>
      <c r="D134" s="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1"/>
      <c r="B135" s="2"/>
      <c r="C135" s="3"/>
      <c r="D135" s="3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1"/>
      <c r="B136" s="2"/>
      <c r="C136" s="3"/>
      <c r="D136" s="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1"/>
      <c r="B137" s="2"/>
      <c r="C137" s="3"/>
      <c r="D137" s="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1"/>
      <c r="B138" s="2"/>
      <c r="C138" s="3"/>
      <c r="D138" s="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1"/>
      <c r="B139" s="2"/>
      <c r="C139" s="3"/>
      <c r="D139" s="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1"/>
      <c r="B140" s="2"/>
      <c r="C140" s="3"/>
      <c r="D140" s="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1"/>
      <c r="B141" s="2"/>
      <c r="C141" s="3"/>
      <c r="D141" s="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1"/>
      <c r="B142" s="2"/>
      <c r="C142" s="3"/>
      <c r="D142" s="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1"/>
      <c r="B143" s="2"/>
      <c r="C143" s="3"/>
      <c r="D143" s="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1"/>
      <c r="B144" s="2"/>
      <c r="C144" s="3"/>
      <c r="D144" s="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1"/>
      <c r="B145" s="2"/>
      <c r="C145" s="3"/>
      <c r="D145" s="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1"/>
      <c r="B146" s="2"/>
      <c r="C146" s="3"/>
      <c r="D146" s="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1"/>
      <c r="B147" s="2"/>
      <c r="C147" s="3"/>
      <c r="D147" s="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1"/>
      <c r="B148" s="2"/>
      <c r="C148" s="3"/>
      <c r="D148" s="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1"/>
      <c r="B149" s="2"/>
      <c r="C149" s="3"/>
      <c r="D149" s="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1"/>
      <c r="B150" s="2"/>
      <c r="C150" s="3"/>
      <c r="D150" s="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1"/>
      <c r="B151" s="2"/>
      <c r="C151" s="3"/>
      <c r="D151" s="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1"/>
      <c r="B152" s="2"/>
      <c r="C152" s="3"/>
      <c r="D152" s="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1"/>
      <c r="B153" s="2"/>
      <c r="C153" s="3"/>
      <c r="D153" s="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1"/>
      <c r="B154" s="2"/>
      <c r="C154" s="3"/>
      <c r="D154" s="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1"/>
      <c r="B155" s="2"/>
      <c r="C155" s="3"/>
      <c r="D155" s="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1"/>
      <c r="B156" s="2"/>
      <c r="C156" s="3"/>
      <c r="D156" s="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1"/>
      <c r="B157" s="2"/>
      <c r="C157" s="3"/>
      <c r="D157" s="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1"/>
      <c r="B158" s="2"/>
      <c r="C158" s="3"/>
      <c r="D158" s="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1"/>
      <c r="B159" s="2"/>
      <c r="C159" s="3"/>
      <c r="D159" s="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1"/>
      <c r="B160" s="2"/>
      <c r="C160" s="3"/>
      <c r="D160" s="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1"/>
      <c r="B161" s="2"/>
      <c r="C161" s="3"/>
      <c r="D161" s="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1"/>
      <c r="B162" s="2"/>
      <c r="C162" s="3"/>
      <c r="D162" s="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1"/>
      <c r="B163" s="2"/>
      <c r="C163" s="3"/>
      <c r="D163" s="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1"/>
      <c r="B164" s="2"/>
      <c r="C164" s="3"/>
      <c r="D164" s="3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1"/>
      <c r="B165" s="2"/>
      <c r="C165" s="3"/>
      <c r="D165" s="3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1"/>
      <c r="B166" s="2"/>
      <c r="C166" s="3"/>
      <c r="D166" s="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1"/>
      <c r="B167" s="2"/>
      <c r="C167" s="3"/>
      <c r="D167" s="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1"/>
      <c r="B168" s="2"/>
      <c r="C168" s="3"/>
      <c r="D168" s="3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1"/>
      <c r="B169" s="2"/>
      <c r="C169" s="3"/>
      <c r="D169" s="3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1"/>
      <c r="B170" s="2"/>
      <c r="C170" s="3"/>
      <c r="D170" s="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1"/>
      <c r="B171" s="2"/>
      <c r="C171" s="3"/>
      <c r="D171" s="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1"/>
      <c r="B172" s="2"/>
      <c r="C172" s="3"/>
      <c r="D172" s="3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1"/>
      <c r="B173" s="2"/>
      <c r="C173" s="3"/>
      <c r="D173" s="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1"/>
      <c r="B174" s="2"/>
      <c r="C174" s="3"/>
      <c r="D174" s="3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1"/>
      <c r="B175" s="2"/>
      <c r="C175" s="3"/>
      <c r="D175" s="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1"/>
      <c r="B176" s="2"/>
      <c r="C176" s="3"/>
      <c r="D176" s="3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1"/>
      <c r="B177" s="2"/>
      <c r="C177" s="3"/>
      <c r="D177" s="3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1"/>
      <c r="B178" s="2"/>
      <c r="C178" s="3"/>
      <c r="D178" s="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1"/>
      <c r="B179" s="2"/>
      <c r="C179" s="3"/>
      <c r="D179" s="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1"/>
      <c r="B180" s="2"/>
      <c r="C180" s="3"/>
      <c r="D180" s="3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1"/>
      <c r="B181" s="2"/>
      <c r="C181" s="3"/>
      <c r="D181" s="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1"/>
      <c r="B182" s="2"/>
      <c r="C182" s="3"/>
      <c r="D182" s="3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1"/>
      <c r="B183" s="2"/>
      <c r="C183" s="3"/>
      <c r="D183" s="3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1"/>
      <c r="B184" s="2"/>
      <c r="C184" s="3"/>
      <c r="D184" s="3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1"/>
      <c r="B185" s="2"/>
      <c r="C185" s="3"/>
      <c r="D185" s="3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1"/>
      <c r="B186" s="2"/>
      <c r="C186" s="3"/>
      <c r="D186" s="3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1"/>
      <c r="B187" s="2"/>
      <c r="C187" s="3"/>
      <c r="D187" s="3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1"/>
      <c r="B188" s="2"/>
      <c r="C188" s="3"/>
      <c r="D188" s="3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1"/>
      <c r="B189" s="2"/>
      <c r="C189" s="3"/>
      <c r="D189" s="3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1"/>
      <c r="B190" s="2"/>
      <c r="C190" s="3"/>
      <c r="D190" s="3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1"/>
      <c r="B191" s="2"/>
      <c r="C191" s="3"/>
      <c r="D191" s="3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1"/>
      <c r="B192" s="2"/>
      <c r="C192" s="3"/>
      <c r="D192" s="3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1"/>
      <c r="B193" s="2"/>
      <c r="C193" s="3"/>
      <c r="D193" s="3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1"/>
      <c r="B194" s="2"/>
      <c r="C194" s="3"/>
      <c r="D194" s="3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1"/>
      <c r="B195" s="2"/>
      <c r="C195" s="3"/>
      <c r="D195" s="3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1"/>
      <c r="B196" s="2"/>
      <c r="C196" s="3"/>
      <c r="D196" s="3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1"/>
      <c r="B197" s="2"/>
      <c r="C197" s="3"/>
      <c r="D197" s="3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1"/>
      <c r="B198" s="2"/>
      <c r="C198" s="3"/>
      <c r="D198" s="3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1"/>
      <c r="B199" s="2"/>
      <c r="C199" s="3"/>
      <c r="D199" s="3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1"/>
      <c r="B200" s="2"/>
      <c r="C200" s="3"/>
      <c r="D200" s="3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1"/>
      <c r="B201" s="2"/>
      <c r="C201" s="3"/>
      <c r="D201" s="3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1"/>
      <c r="B202" s="2"/>
      <c r="C202" s="3"/>
      <c r="D202" s="3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1"/>
      <c r="B203" s="2"/>
      <c r="C203" s="3"/>
      <c r="D203" s="3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1"/>
      <c r="B204" s="2"/>
      <c r="C204" s="3"/>
      <c r="D204" s="3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1"/>
      <c r="B205" s="2"/>
      <c r="C205" s="3"/>
      <c r="D205" s="3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1"/>
      <c r="B206" s="2"/>
      <c r="C206" s="3"/>
      <c r="D206" s="3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1"/>
      <c r="B207" s="2"/>
      <c r="C207" s="3"/>
      <c r="D207" s="3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1"/>
      <c r="B208" s="2"/>
      <c r="C208" s="3"/>
      <c r="D208" s="3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1"/>
      <c r="B209" s="2"/>
      <c r="C209" s="3"/>
      <c r="D209" s="3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1"/>
      <c r="B210" s="2"/>
      <c r="C210" s="3"/>
      <c r="D210" s="3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1"/>
      <c r="B211" s="2"/>
      <c r="C211" s="3"/>
      <c r="D211" s="3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1"/>
      <c r="B212" s="2"/>
      <c r="C212" s="3"/>
      <c r="D212" s="3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1"/>
      <c r="B213" s="2"/>
      <c r="C213" s="3"/>
      <c r="D213" s="3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1"/>
      <c r="B214" s="2"/>
      <c r="C214" s="3"/>
      <c r="D214" s="3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1"/>
      <c r="B215" s="2"/>
      <c r="C215" s="3"/>
      <c r="D215" s="3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1"/>
      <c r="B216" s="2"/>
      <c r="C216" s="3"/>
      <c r="D216" s="3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1"/>
      <c r="B217" s="2"/>
      <c r="C217" s="3"/>
      <c r="D217" s="3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1"/>
      <c r="B218" s="2"/>
      <c r="C218" s="3"/>
      <c r="D218" s="3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1"/>
      <c r="B219" s="2"/>
      <c r="C219" s="3"/>
      <c r="D219" s="3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1"/>
      <c r="B220" s="2"/>
      <c r="C220" s="3"/>
      <c r="D220" s="3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1"/>
      <c r="B221" s="2"/>
      <c r="C221" s="3"/>
      <c r="D221" s="3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1"/>
      <c r="B222" s="2"/>
      <c r="C222" s="3"/>
      <c r="D222" s="3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1"/>
      <c r="B223" s="2"/>
      <c r="C223" s="3"/>
      <c r="D223" s="3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1"/>
      <c r="B224" s="2"/>
      <c r="C224" s="3"/>
      <c r="D224" s="3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1"/>
      <c r="B225" s="2"/>
      <c r="C225" s="3"/>
      <c r="D225" s="3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1"/>
      <c r="B226" s="2"/>
      <c r="C226" s="3"/>
      <c r="D226" s="3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1"/>
      <c r="B227" s="2"/>
      <c r="C227" s="3"/>
      <c r="D227" s="3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1"/>
      <c r="B228" s="2"/>
      <c r="C228" s="3"/>
      <c r="D228" s="3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1"/>
      <c r="B229" s="2"/>
      <c r="C229" s="3"/>
      <c r="D229" s="3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1"/>
      <c r="B230" s="2"/>
      <c r="C230" s="3"/>
      <c r="D230" s="3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1"/>
      <c r="B231" s="2"/>
      <c r="C231" s="3"/>
      <c r="D231" s="3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1"/>
      <c r="B232" s="2"/>
      <c r="C232" s="3"/>
      <c r="D232" s="3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1"/>
      <c r="B233" s="2"/>
      <c r="C233" s="3"/>
      <c r="D233" s="3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1"/>
      <c r="B234" s="2"/>
      <c r="C234" s="3"/>
      <c r="D234" s="3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1"/>
      <c r="B235" s="2"/>
      <c r="C235" s="3"/>
      <c r="D235" s="3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1"/>
      <c r="B236" s="2"/>
      <c r="C236" s="3"/>
      <c r="D236" s="3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1"/>
      <c r="B237" s="2"/>
      <c r="C237" s="3"/>
      <c r="D237" s="3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1"/>
      <c r="B238" s="2"/>
      <c r="C238" s="3"/>
      <c r="D238" s="3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1"/>
      <c r="B239" s="2"/>
      <c r="C239" s="3"/>
      <c r="D239" s="3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1"/>
      <c r="B240" s="2"/>
      <c r="C240" s="3"/>
      <c r="D240" s="3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1"/>
      <c r="B241" s="2"/>
      <c r="C241" s="3"/>
      <c r="D241" s="3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1"/>
      <c r="B242" s="2"/>
      <c r="C242" s="3"/>
      <c r="D242" s="3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1"/>
      <c r="B243" s="2"/>
      <c r="C243" s="3"/>
      <c r="D243" s="3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1"/>
      <c r="B244" s="2"/>
      <c r="C244" s="3"/>
      <c r="D244" s="3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1"/>
      <c r="B245" s="2"/>
      <c r="C245" s="3"/>
      <c r="D245" s="3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1"/>
      <c r="B246" s="2"/>
      <c r="C246" s="3"/>
      <c r="D246" s="3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1"/>
      <c r="B247" s="2"/>
      <c r="C247" s="3"/>
      <c r="D247" s="3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1"/>
      <c r="B248" s="2"/>
      <c r="C248" s="3"/>
      <c r="D248" s="3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1"/>
      <c r="B249" s="2"/>
      <c r="C249" s="3"/>
      <c r="D249" s="3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1"/>
      <c r="B250" s="2"/>
      <c r="C250" s="3"/>
      <c r="D250" s="3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1"/>
      <c r="B251" s="2"/>
      <c r="C251" s="3"/>
      <c r="D251" s="3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1"/>
      <c r="B252" s="2"/>
      <c r="C252" s="3"/>
      <c r="D252" s="3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1"/>
      <c r="B253" s="2"/>
      <c r="C253" s="3"/>
      <c r="D253" s="3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1"/>
      <c r="B254" s="2"/>
      <c r="C254" s="3"/>
      <c r="D254" s="3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1"/>
      <c r="B255" s="2"/>
      <c r="C255" s="3"/>
      <c r="D255" s="3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1"/>
      <c r="B256" s="2"/>
      <c r="C256" s="3"/>
      <c r="D256" s="3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1"/>
      <c r="B257" s="2"/>
      <c r="C257" s="3"/>
      <c r="D257" s="3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1"/>
      <c r="B258" s="2"/>
      <c r="C258" s="3"/>
      <c r="D258" s="3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1"/>
      <c r="B259" s="2"/>
      <c r="C259" s="3"/>
      <c r="D259" s="3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1"/>
      <c r="B260" s="2"/>
      <c r="C260" s="3"/>
      <c r="D260" s="3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1"/>
      <c r="B261" s="2"/>
      <c r="C261" s="3"/>
      <c r="D261" s="3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1"/>
      <c r="B262" s="2"/>
      <c r="C262" s="3"/>
      <c r="D262" s="3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1"/>
      <c r="B263" s="2"/>
      <c r="C263" s="3"/>
      <c r="D263" s="3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1"/>
      <c r="B264" s="2"/>
      <c r="C264" s="3"/>
      <c r="D264" s="3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1"/>
      <c r="B265" s="2"/>
      <c r="C265" s="3"/>
      <c r="D265" s="3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1"/>
      <c r="B266" s="2"/>
      <c r="C266" s="3"/>
      <c r="D266" s="3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1"/>
      <c r="B267" s="2"/>
      <c r="C267" s="3"/>
      <c r="D267" s="3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1"/>
      <c r="B268" s="2"/>
      <c r="C268" s="3"/>
      <c r="D268" s="3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1"/>
      <c r="B269" s="2"/>
      <c r="C269" s="3"/>
      <c r="D269" s="3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1"/>
      <c r="B270" s="2"/>
      <c r="C270" s="3"/>
      <c r="D270" s="3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1"/>
      <c r="B271" s="2"/>
      <c r="C271" s="3"/>
      <c r="D271" s="3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1"/>
      <c r="B272" s="2"/>
      <c r="C272" s="3"/>
      <c r="D272" s="3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1"/>
      <c r="B273" s="2"/>
      <c r="C273" s="3"/>
      <c r="D273" s="3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1"/>
      <c r="B274" s="2"/>
      <c r="C274" s="3"/>
      <c r="D274" s="3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1"/>
      <c r="B275" s="2"/>
      <c r="C275" s="3"/>
      <c r="D275" s="3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1"/>
      <c r="B276" s="2"/>
      <c r="C276" s="3"/>
      <c r="D276" s="3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1"/>
      <c r="B277" s="2"/>
      <c r="C277" s="3"/>
      <c r="D277" s="3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1"/>
      <c r="B278" s="2"/>
      <c r="C278" s="3"/>
      <c r="D278" s="3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1"/>
      <c r="B279" s="2"/>
      <c r="C279" s="3"/>
      <c r="D279" s="3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1"/>
      <c r="B280" s="2"/>
      <c r="C280" s="3"/>
      <c r="D280" s="3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1"/>
      <c r="B281" s="2"/>
      <c r="C281" s="3"/>
      <c r="D281" s="3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1"/>
      <c r="B282" s="2"/>
      <c r="C282" s="3"/>
      <c r="D282" s="3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1"/>
      <c r="B283" s="2"/>
      <c r="C283" s="3"/>
      <c r="D283" s="3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1"/>
      <c r="B284" s="2"/>
      <c r="C284" s="3"/>
      <c r="D284" s="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1"/>
      <c r="B285" s="2"/>
      <c r="C285" s="3"/>
      <c r="D285" s="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1"/>
      <c r="B286" s="2"/>
      <c r="C286" s="3"/>
      <c r="D286" s="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1"/>
      <c r="B287" s="2"/>
      <c r="C287" s="3"/>
      <c r="D287" s="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1"/>
      <c r="B288" s="2"/>
      <c r="C288" s="3"/>
      <c r="D288" s="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1"/>
      <c r="B289" s="2"/>
      <c r="C289" s="3"/>
      <c r="D289" s="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1"/>
      <c r="B290" s="2"/>
      <c r="C290" s="3"/>
      <c r="D290" s="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1"/>
      <c r="B291" s="2"/>
      <c r="C291" s="3"/>
      <c r="D291" s="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1"/>
      <c r="B292" s="2"/>
      <c r="C292" s="3"/>
      <c r="D292" s="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1"/>
      <c r="B293" s="2"/>
      <c r="C293" s="3"/>
      <c r="D293" s="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1"/>
      <c r="B294" s="2"/>
      <c r="C294" s="3"/>
      <c r="D294" s="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1"/>
      <c r="B295" s="2"/>
      <c r="C295" s="3"/>
      <c r="D295" s="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1"/>
      <c r="B296" s="2"/>
      <c r="C296" s="3"/>
      <c r="D296" s="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1"/>
      <c r="B297" s="2"/>
      <c r="C297" s="3"/>
      <c r="D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1"/>
      <c r="B298" s="2"/>
      <c r="C298" s="3"/>
      <c r="D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1"/>
      <c r="B299" s="2"/>
      <c r="C299" s="3"/>
      <c r="D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1"/>
      <c r="B300" s="2"/>
      <c r="C300" s="3"/>
      <c r="D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1"/>
      <c r="B301" s="2"/>
      <c r="C301" s="3"/>
      <c r="D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1"/>
      <c r="B302" s="2"/>
      <c r="C302" s="3"/>
      <c r="D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1"/>
      <c r="B303" s="2"/>
      <c r="C303" s="3"/>
      <c r="D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1"/>
      <c r="B304" s="2"/>
      <c r="C304" s="3"/>
      <c r="D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1"/>
      <c r="B305" s="2"/>
      <c r="C305" s="3"/>
      <c r="D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1"/>
      <c r="B306" s="2"/>
      <c r="C306" s="3"/>
      <c r="D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1"/>
      <c r="B307" s="2"/>
      <c r="C307" s="3"/>
      <c r="D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1"/>
      <c r="B308" s="2"/>
      <c r="C308" s="3"/>
      <c r="D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1"/>
      <c r="B309" s="2"/>
      <c r="C309" s="3"/>
      <c r="D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1"/>
      <c r="B310" s="2"/>
      <c r="C310" s="3"/>
      <c r="D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1"/>
      <c r="B311" s="2"/>
      <c r="C311" s="3"/>
      <c r="D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1"/>
      <c r="B312" s="2"/>
      <c r="C312" s="3"/>
      <c r="D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1"/>
      <c r="B313" s="2"/>
      <c r="C313" s="3"/>
      <c r="D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1"/>
      <c r="B314" s="2"/>
      <c r="C314" s="3"/>
      <c r="D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1"/>
      <c r="B315" s="2"/>
      <c r="C315" s="3"/>
      <c r="D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1"/>
      <c r="B316" s="2"/>
      <c r="C316" s="3"/>
      <c r="D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1"/>
      <c r="B317" s="2"/>
      <c r="C317" s="3"/>
      <c r="D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1"/>
      <c r="B318" s="2"/>
      <c r="C318" s="3"/>
      <c r="D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1"/>
      <c r="B319" s="2"/>
      <c r="C319" s="3"/>
      <c r="D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1"/>
      <c r="B320" s="2"/>
      <c r="C320" s="3"/>
      <c r="D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1"/>
      <c r="B321" s="2"/>
      <c r="C321" s="3"/>
      <c r="D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1"/>
      <c r="B322" s="2"/>
      <c r="C322" s="3"/>
      <c r="D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1"/>
      <c r="B323" s="2"/>
      <c r="C323" s="3"/>
      <c r="D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1"/>
      <c r="B324" s="2"/>
      <c r="C324" s="3"/>
      <c r="D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1"/>
      <c r="B325" s="2"/>
      <c r="C325" s="3"/>
      <c r="D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1"/>
      <c r="B326" s="2"/>
      <c r="C326" s="3"/>
      <c r="D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1"/>
      <c r="B327" s="2"/>
      <c r="C327" s="3"/>
      <c r="D327" s="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1"/>
      <c r="B328" s="2"/>
      <c r="C328" s="3"/>
      <c r="D328" s="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1"/>
      <c r="B329" s="2"/>
      <c r="C329" s="3"/>
      <c r="D329" s="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1"/>
      <c r="B330" s="2"/>
      <c r="C330" s="3"/>
      <c r="D330" s="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1"/>
      <c r="B331" s="2"/>
      <c r="C331" s="3"/>
      <c r="D331" s="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1"/>
      <c r="B332" s="2"/>
      <c r="C332" s="3"/>
      <c r="D332" s="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1"/>
      <c r="B333" s="2"/>
      <c r="C333" s="3"/>
      <c r="D333" s="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1"/>
      <c r="B334" s="2"/>
      <c r="C334" s="3"/>
      <c r="D334" s="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1"/>
      <c r="B335" s="2"/>
      <c r="C335" s="3"/>
      <c r="D335" s="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1"/>
      <c r="B336" s="2"/>
      <c r="C336" s="3"/>
      <c r="D336" s="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1"/>
      <c r="B337" s="2"/>
      <c r="C337" s="3"/>
      <c r="D337" s="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1"/>
      <c r="B338" s="2"/>
      <c r="C338" s="3"/>
      <c r="D338" s="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1"/>
      <c r="B339" s="2"/>
      <c r="C339" s="3"/>
      <c r="D339" s="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1"/>
      <c r="B340" s="2"/>
      <c r="C340" s="3"/>
      <c r="D340" s="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1"/>
      <c r="B341" s="2"/>
      <c r="C341" s="3"/>
      <c r="D341" s="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1"/>
      <c r="B342" s="2"/>
      <c r="C342" s="3"/>
      <c r="D342" s="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1"/>
      <c r="B343" s="2"/>
      <c r="C343" s="3"/>
      <c r="D343" s="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1"/>
      <c r="B344" s="2"/>
      <c r="C344" s="3"/>
      <c r="D344" s="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1"/>
      <c r="B345" s="2"/>
      <c r="C345" s="3"/>
      <c r="D345" s="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1"/>
      <c r="B346" s="2"/>
      <c r="C346" s="3"/>
      <c r="D346" s="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1"/>
      <c r="B347" s="2"/>
      <c r="C347" s="3"/>
      <c r="D347" s="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1"/>
      <c r="B348" s="2"/>
      <c r="C348" s="3"/>
      <c r="D348" s="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1"/>
      <c r="B349" s="2"/>
      <c r="C349" s="3"/>
      <c r="D349" s="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1"/>
      <c r="B350" s="2"/>
      <c r="C350" s="3"/>
      <c r="D350" s="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1"/>
      <c r="B351" s="2"/>
      <c r="C351" s="3"/>
      <c r="D351" s="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1"/>
      <c r="B352" s="2"/>
      <c r="C352" s="3"/>
      <c r="D352" s="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1"/>
      <c r="B353" s="2"/>
      <c r="C353" s="3"/>
      <c r="D353" s="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1"/>
      <c r="B354" s="2"/>
      <c r="C354" s="3"/>
      <c r="D354" s="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1"/>
      <c r="B355" s="2"/>
      <c r="C355" s="3"/>
      <c r="D355" s="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1"/>
      <c r="B356" s="2"/>
      <c r="C356" s="3"/>
      <c r="D356" s="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1"/>
      <c r="B357" s="2"/>
      <c r="C357" s="3"/>
      <c r="D357" s="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1"/>
      <c r="B358" s="2"/>
      <c r="C358" s="3"/>
      <c r="D358" s="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1"/>
      <c r="B359" s="2"/>
      <c r="C359" s="3"/>
      <c r="D359" s="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1"/>
      <c r="B360" s="2"/>
      <c r="C360" s="3"/>
      <c r="D360" s="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1"/>
      <c r="B361" s="2"/>
      <c r="C361" s="3"/>
      <c r="D361" s="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1"/>
      <c r="B362" s="2"/>
      <c r="C362" s="3"/>
      <c r="D362" s="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1"/>
      <c r="B363" s="2"/>
      <c r="C363" s="3"/>
      <c r="D363" s="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1"/>
      <c r="B364" s="2"/>
      <c r="C364" s="3"/>
      <c r="D364" s="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1"/>
      <c r="B365" s="2"/>
      <c r="C365" s="3"/>
      <c r="D365" s="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1"/>
      <c r="B366" s="2"/>
      <c r="C366" s="3"/>
      <c r="D366" s="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1"/>
      <c r="B367" s="2"/>
      <c r="C367" s="3"/>
      <c r="D367" s="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1"/>
      <c r="B368" s="2"/>
      <c r="C368" s="3"/>
      <c r="D368" s="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1"/>
      <c r="B369" s="2"/>
      <c r="C369" s="3"/>
      <c r="D369" s="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1"/>
      <c r="B370" s="2"/>
      <c r="C370" s="3"/>
      <c r="D370" s="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1"/>
      <c r="B371" s="2"/>
      <c r="C371" s="3"/>
      <c r="D371" s="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1"/>
      <c r="B372" s="2"/>
      <c r="C372" s="3"/>
      <c r="D372" s="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1"/>
      <c r="B373" s="2"/>
      <c r="C373" s="3"/>
      <c r="D373" s="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1"/>
      <c r="B374" s="2"/>
      <c r="C374" s="3"/>
      <c r="D374" s="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1"/>
      <c r="B375" s="2"/>
      <c r="C375" s="3"/>
      <c r="D375" s="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1"/>
      <c r="B376" s="2"/>
      <c r="C376" s="3"/>
      <c r="D376" s="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1"/>
      <c r="B377" s="2"/>
      <c r="C377" s="3"/>
      <c r="D377" s="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1"/>
      <c r="B378" s="2"/>
      <c r="C378" s="3"/>
      <c r="D378" s="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1"/>
      <c r="B379" s="2"/>
      <c r="C379" s="3"/>
      <c r="D379" s="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1"/>
      <c r="B380" s="2"/>
      <c r="C380" s="3"/>
      <c r="D380" s="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1"/>
      <c r="B381" s="2"/>
      <c r="C381" s="3"/>
      <c r="D381" s="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1"/>
      <c r="B382" s="2"/>
      <c r="C382" s="3"/>
      <c r="D382" s="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1"/>
      <c r="B383" s="2"/>
      <c r="C383" s="3"/>
      <c r="D383" s="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1"/>
      <c r="B384" s="2"/>
      <c r="C384" s="3"/>
      <c r="D384" s="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1"/>
      <c r="B385" s="2"/>
      <c r="C385" s="3"/>
      <c r="D385" s="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1"/>
      <c r="B386" s="2"/>
      <c r="C386" s="3"/>
      <c r="D386" s="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1"/>
      <c r="B387" s="2"/>
      <c r="C387" s="3"/>
      <c r="D387" s="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1"/>
      <c r="B388" s="2"/>
      <c r="C388" s="3"/>
      <c r="D388" s="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1"/>
      <c r="B389" s="2"/>
      <c r="C389" s="3"/>
      <c r="D389" s="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1"/>
      <c r="B390" s="2"/>
      <c r="C390" s="3"/>
      <c r="D390" s="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1"/>
      <c r="B391" s="2"/>
      <c r="C391" s="3"/>
      <c r="D391" s="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1"/>
      <c r="B392" s="2"/>
      <c r="C392" s="3"/>
      <c r="D392" s="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1"/>
      <c r="B393" s="2"/>
      <c r="C393" s="3"/>
      <c r="D393" s="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1"/>
      <c r="B394" s="2"/>
      <c r="C394" s="3"/>
      <c r="D394" s="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1"/>
      <c r="B395" s="2"/>
      <c r="C395" s="3"/>
      <c r="D395" s="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1"/>
      <c r="B396" s="2"/>
      <c r="C396" s="3"/>
      <c r="D396" s="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1"/>
      <c r="B397" s="2"/>
      <c r="C397" s="3"/>
      <c r="D397" s="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1"/>
      <c r="B398" s="2"/>
      <c r="C398" s="3"/>
      <c r="D398" s="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1"/>
      <c r="B399" s="2"/>
      <c r="C399" s="3"/>
      <c r="D399" s="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1"/>
      <c r="B400" s="2"/>
      <c r="C400" s="3"/>
      <c r="D400" s="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1"/>
      <c r="B401" s="2"/>
      <c r="C401" s="3"/>
      <c r="D401" s="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1"/>
      <c r="B402" s="2"/>
      <c r="C402" s="3"/>
      <c r="D402" s="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1"/>
      <c r="B403" s="2"/>
      <c r="C403" s="3"/>
      <c r="D403" s="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1"/>
      <c r="B404" s="2"/>
      <c r="C404" s="3"/>
      <c r="D404" s="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1"/>
      <c r="B405" s="2"/>
      <c r="C405" s="3"/>
      <c r="D405" s="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1"/>
      <c r="B406" s="2"/>
      <c r="C406" s="3"/>
      <c r="D406" s="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1"/>
      <c r="B407" s="2"/>
      <c r="C407" s="3"/>
      <c r="D407" s="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1"/>
      <c r="B408" s="2"/>
      <c r="C408" s="3"/>
      <c r="D408" s="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1"/>
      <c r="B409" s="2"/>
      <c r="C409" s="3"/>
      <c r="D409" s="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1"/>
      <c r="B410" s="2"/>
      <c r="C410" s="3"/>
      <c r="D410" s="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1"/>
      <c r="B411" s="2"/>
      <c r="C411" s="3"/>
      <c r="D411" s="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1"/>
      <c r="B412" s="2"/>
      <c r="C412" s="3"/>
      <c r="D412" s="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1"/>
      <c r="B413" s="2"/>
      <c r="C413" s="3"/>
      <c r="D413" s="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1"/>
      <c r="B414" s="2"/>
      <c r="C414" s="3"/>
      <c r="D414" s="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1"/>
      <c r="B415" s="2"/>
      <c r="C415" s="3"/>
      <c r="D415" s="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1"/>
      <c r="B416" s="2"/>
      <c r="C416" s="3"/>
      <c r="D416" s="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1"/>
      <c r="B417" s="2"/>
      <c r="C417" s="3"/>
      <c r="D417" s="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1"/>
      <c r="B418" s="2"/>
      <c r="C418" s="3"/>
      <c r="D418" s="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1"/>
      <c r="B419" s="2"/>
      <c r="C419" s="3"/>
      <c r="D419" s="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1"/>
      <c r="B420" s="2"/>
      <c r="C420" s="3"/>
      <c r="D420" s="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1"/>
      <c r="B421" s="2"/>
      <c r="C421" s="3"/>
      <c r="D421" s="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1"/>
      <c r="B422" s="2"/>
      <c r="C422" s="3"/>
      <c r="D422" s="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1"/>
      <c r="B423" s="2"/>
      <c r="C423" s="3"/>
      <c r="D423" s="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1"/>
      <c r="B424" s="2"/>
      <c r="C424" s="3"/>
      <c r="D424" s="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1"/>
      <c r="B425" s="2"/>
      <c r="C425" s="3"/>
      <c r="D425" s="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1"/>
      <c r="B426" s="2"/>
      <c r="C426" s="3"/>
      <c r="D426" s="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1"/>
      <c r="B427" s="2"/>
      <c r="C427" s="3"/>
      <c r="D427" s="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1"/>
      <c r="B428" s="2"/>
      <c r="C428" s="3"/>
      <c r="D428" s="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1"/>
      <c r="B429" s="2"/>
      <c r="C429" s="3"/>
      <c r="D429" s="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1"/>
      <c r="B430" s="2"/>
      <c r="C430" s="3"/>
      <c r="D430" s="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1"/>
      <c r="B431" s="2"/>
      <c r="C431" s="3"/>
      <c r="D431" s="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1"/>
      <c r="B432" s="2"/>
      <c r="C432" s="3"/>
      <c r="D432" s="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1"/>
      <c r="B433" s="2"/>
      <c r="C433" s="3"/>
      <c r="D433" s="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1"/>
      <c r="B434" s="2"/>
      <c r="C434" s="3"/>
      <c r="D434" s="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1"/>
      <c r="B435" s="2"/>
      <c r="C435" s="3"/>
      <c r="D435" s="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1"/>
      <c r="B436" s="2"/>
      <c r="C436" s="3"/>
      <c r="D436" s="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1"/>
      <c r="B437" s="2"/>
      <c r="C437" s="3"/>
      <c r="D437" s="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1"/>
      <c r="B438" s="2"/>
      <c r="C438" s="3"/>
      <c r="D438" s="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1"/>
      <c r="B439" s="2"/>
      <c r="C439" s="3"/>
      <c r="D439" s="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1"/>
      <c r="B440" s="2"/>
      <c r="C440" s="3"/>
      <c r="D440" s="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1"/>
      <c r="B441" s="2"/>
      <c r="C441" s="3"/>
      <c r="D441" s="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1"/>
      <c r="B442" s="2"/>
      <c r="C442" s="3"/>
      <c r="D442" s="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1"/>
      <c r="B443" s="2"/>
      <c r="C443" s="3"/>
      <c r="D443" s="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1"/>
      <c r="B444" s="2"/>
      <c r="C444" s="3"/>
      <c r="D444" s="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1"/>
      <c r="B445" s="2"/>
      <c r="C445" s="3"/>
      <c r="D445" s="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1"/>
      <c r="B446" s="2"/>
      <c r="C446" s="3"/>
      <c r="D446" s="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1"/>
      <c r="B447" s="2"/>
      <c r="C447" s="3"/>
      <c r="D447" s="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1"/>
      <c r="B448" s="2"/>
      <c r="C448" s="3"/>
      <c r="D448" s="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1"/>
      <c r="B449" s="2"/>
      <c r="C449" s="3"/>
      <c r="D449" s="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1"/>
      <c r="B450" s="2"/>
      <c r="C450" s="3"/>
      <c r="D450" s="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1"/>
      <c r="B451" s="2"/>
      <c r="C451" s="3"/>
      <c r="D451" s="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1"/>
      <c r="B452" s="2"/>
      <c r="C452" s="3"/>
      <c r="D452" s="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1"/>
      <c r="B453" s="2"/>
      <c r="C453" s="3"/>
      <c r="D453" s="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1"/>
      <c r="B454" s="2"/>
      <c r="C454" s="3"/>
      <c r="D454" s="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1"/>
      <c r="B455" s="2"/>
      <c r="C455" s="3"/>
      <c r="D455" s="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1"/>
      <c r="B456" s="2"/>
      <c r="C456" s="3"/>
      <c r="D456" s="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1"/>
      <c r="B457" s="2"/>
      <c r="C457" s="3"/>
      <c r="D457" s="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1"/>
      <c r="B458" s="2"/>
      <c r="C458" s="3"/>
      <c r="D458" s="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1"/>
      <c r="B459" s="2"/>
      <c r="C459" s="3"/>
      <c r="D459" s="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1"/>
      <c r="B460" s="2"/>
      <c r="C460" s="3"/>
      <c r="D460" s="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1"/>
      <c r="B461" s="2"/>
      <c r="C461" s="3"/>
      <c r="D461" s="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1"/>
      <c r="B462" s="2"/>
      <c r="C462" s="3"/>
      <c r="D462" s="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1"/>
      <c r="B463" s="2"/>
      <c r="C463" s="3"/>
      <c r="D463" s="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1"/>
      <c r="B464" s="2"/>
      <c r="C464" s="3"/>
      <c r="D464" s="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1"/>
      <c r="B465" s="2"/>
      <c r="C465" s="3"/>
      <c r="D465" s="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1"/>
      <c r="B466" s="2"/>
      <c r="C466" s="3"/>
      <c r="D466" s="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1"/>
      <c r="B467" s="2"/>
      <c r="C467" s="3"/>
      <c r="D467" s="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1"/>
      <c r="B468" s="2"/>
      <c r="C468" s="3"/>
      <c r="D468" s="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1"/>
      <c r="B469" s="2"/>
      <c r="C469" s="3"/>
      <c r="D469" s="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1"/>
      <c r="B470" s="2"/>
      <c r="C470" s="3"/>
      <c r="D470" s="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1"/>
      <c r="B471" s="2"/>
      <c r="C471" s="3"/>
      <c r="D471" s="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1"/>
      <c r="B472" s="2"/>
      <c r="C472" s="3"/>
      <c r="D472" s="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1"/>
      <c r="B473" s="2"/>
      <c r="C473" s="3"/>
      <c r="D473" s="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1"/>
      <c r="B474" s="2"/>
      <c r="C474" s="3"/>
      <c r="D474" s="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1"/>
      <c r="B475" s="2"/>
      <c r="C475" s="3"/>
      <c r="D475" s="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1"/>
      <c r="B476" s="2"/>
      <c r="C476" s="3"/>
      <c r="D476" s="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1"/>
      <c r="B477" s="2"/>
      <c r="C477" s="3"/>
      <c r="D477" s="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1"/>
      <c r="B478" s="2"/>
      <c r="C478" s="3"/>
      <c r="D478" s="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1"/>
      <c r="B479" s="2"/>
      <c r="C479" s="3"/>
      <c r="D479" s="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1"/>
      <c r="B480" s="2"/>
      <c r="C480" s="3"/>
      <c r="D480" s="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1"/>
      <c r="B481" s="2"/>
      <c r="C481" s="3"/>
      <c r="D481" s="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1"/>
      <c r="B482" s="2"/>
      <c r="C482" s="3"/>
      <c r="D482" s="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1"/>
      <c r="B483" s="2"/>
      <c r="C483" s="3"/>
      <c r="D483" s="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1"/>
      <c r="B484" s="2"/>
      <c r="C484" s="3"/>
      <c r="D484" s="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1"/>
      <c r="B485" s="2"/>
      <c r="C485" s="3"/>
      <c r="D485" s="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1"/>
      <c r="B486" s="2"/>
      <c r="C486" s="3"/>
      <c r="D486" s="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1"/>
      <c r="B487" s="2"/>
      <c r="C487" s="3"/>
      <c r="D487" s="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1"/>
      <c r="B488" s="2"/>
      <c r="C488" s="3"/>
      <c r="D488" s="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1"/>
      <c r="B489" s="2"/>
      <c r="C489" s="3"/>
      <c r="D489" s="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1"/>
      <c r="B490" s="2"/>
      <c r="C490" s="3"/>
      <c r="D490" s="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1"/>
      <c r="B491" s="2"/>
      <c r="C491" s="3"/>
      <c r="D491" s="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1"/>
      <c r="B492" s="2"/>
      <c r="C492" s="3"/>
      <c r="D492" s="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1"/>
      <c r="B493" s="2"/>
      <c r="C493" s="3"/>
      <c r="D493" s="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1"/>
      <c r="B494" s="2"/>
      <c r="C494" s="3"/>
      <c r="D494" s="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1"/>
      <c r="B495" s="2"/>
      <c r="C495" s="3"/>
      <c r="D495" s="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1"/>
      <c r="B496" s="2"/>
      <c r="C496" s="3"/>
      <c r="D496" s="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1"/>
      <c r="B497" s="2"/>
      <c r="C497" s="3"/>
      <c r="D497" s="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1"/>
      <c r="B498" s="2"/>
      <c r="C498" s="3"/>
      <c r="D498" s="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1"/>
      <c r="B499" s="2"/>
      <c r="C499" s="3"/>
      <c r="D499" s="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1"/>
      <c r="B500" s="2"/>
      <c r="C500" s="3"/>
      <c r="D500" s="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1"/>
      <c r="B501" s="2"/>
      <c r="C501" s="3"/>
      <c r="D501" s="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1"/>
      <c r="B502" s="2"/>
      <c r="C502" s="3"/>
      <c r="D502" s="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1"/>
      <c r="B503" s="2"/>
      <c r="C503" s="3"/>
      <c r="D503" s="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1"/>
      <c r="B504" s="2"/>
      <c r="C504" s="3"/>
      <c r="D504" s="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1"/>
      <c r="B505" s="2"/>
      <c r="C505" s="3"/>
      <c r="D505" s="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1"/>
      <c r="B506" s="2"/>
      <c r="C506" s="3"/>
      <c r="D506" s="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1"/>
      <c r="B507" s="2"/>
      <c r="C507" s="3"/>
      <c r="D507" s="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1"/>
      <c r="B508" s="2"/>
      <c r="C508" s="3"/>
      <c r="D508" s="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1"/>
      <c r="B509" s="2"/>
      <c r="C509" s="3"/>
      <c r="D509" s="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1"/>
      <c r="B510" s="2"/>
      <c r="C510" s="3"/>
      <c r="D510" s="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1"/>
      <c r="B511" s="2"/>
      <c r="C511" s="3"/>
      <c r="D511" s="3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1"/>
      <c r="B512" s="2"/>
      <c r="C512" s="3"/>
      <c r="D512" s="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1"/>
      <c r="B513" s="2"/>
      <c r="C513" s="3"/>
      <c r="D513" s="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1"/>
      <c r="B514" s="2"/>
      <c r="C514" s="3"/>
      <c r="D514" s="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1"/>
      <c r="B515" s="2"/>
      <c r="C515" s="3"/>
      <c r="D515" s="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1"/>
      <c r="B516" s="2"/>
      <c r="C516" s="3"/>
      <c r="D516" s="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1"/>
      <c r="B517" s="2"/>
      <c r="C517" s="3"/>
      <c r="D517" s="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1"/>
      <c r="B518" s="2"/>
      <c r="C518" s="3"/>
      <c r="D518" s="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1"/>
      <c r="B519" s="2"/>
      <c r="C519" s="3"/>
      <c r="D519" s="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1"/>
      <c r="B520" s="2"/>
      <c r="C520" s="3"/>
      <c r="D520" s="3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1"/>
      <c r="B521" s="2"/>
      <c r="C521" s="3"/>
      <c r="D521" s="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1"/>
      <c r="B522" s="2"/>
      <c r="C522" s="3"/>
      <c r="D522" s="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1"/>
      <c r="B523" s="2"/>
      <c r="C523" s="3"/>
      <c r="D523" s="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1"/>
      <c r="B524" s="2"/>
      <c r="C524" s="3"/>
      <c r="D524" s="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1"/>
      <c r="B525" s="2"/>
      <c r="C525" s="3"/>
      <c r="D525" s="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1"/>
      <c r="B526" s="2"/>
      <c r="C526" s="3"/>
      <c r="D526" s="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1"/>
      <c r="B527" s="2"/>
      <c r="C527" s="3"/>
      <c r="D527" s="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1"/>
      <c r="B528" s="2"/>
      <c r="C528" s="3"/>
      <c r="D528" s="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1"/>
      <c r="B529" s="2"/>
      <c r="C529" s="3"/>
      <c r="D529" s="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1"/>
      <c r="B530" s="2"/>
      <c r="C530" s="3"/>
      <c r="D530" s="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1"/>
      <c r="B531" s="2"/>
      <c r="C531" s="3"/>
      <c r="D531" s="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1"/>
      <c r="B532" s="2"/>
      <c r="C532" s="3"/>
      <c r="D532" s="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1"/>
      <c r="B533" s="2"/>
      <c r="C533" s="3"/>
      <c r="D533" s="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1"/>
      <c r="B534" s="2"/>
      <c r="C534" s="3"/>
      <c r="D534" s="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1"/>
      <c r="B535" s="2"/>
      <c r="C535" s="3"/>
      <c r="D535" s="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1"/>
      <c r="B536" s="2"/>
      <c r="C536" s="3"/>
      <c r="D536" s="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1"/>
      <c r="B537" s="2"/>
      <c r="C537" s="3"/>
      <c r="D537" s="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1"/>
      <c r="B538" s="2"/>
      <c r="C538" s="3"/>
      <c r="D538" s="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1"/>
      <c r="B539" s="2"/>
      <c r="C539" s="3"/>
      <c r="D539" s="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1"/>
      <c r="B540" s="2"/>
      <c r="C540" s="3"/>
      <c r="D540" s="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1"/>
      <c r="B541" s="2"/>
      <c r="C541" s="3"/>
      <c r="D541" s="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1"/>
      <c r="B542" s="2"/>
      <c r="C542" s="3"/>
      <c r="D542" s="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1"/>
      <c r="B543" s="2"/>
      <c r="C543" s="3"/>
      <c r="D543" s="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1"/>
      <c r="B544" s="2"/>
      <c r="C544" s="3"/>
      <c r="D544" s="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1"/>
      <c r="B545" s="2"/>
      <c r="C545" s="3"/>
      <c r="D545" s="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1"/>
      <c r="B546" s="2"/>
      <c r="C546" s="3"/>
      <c r="D546" s="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1"/>
      <c r="B547" s="2"/>
      <c r="C547" s="3"/>
      <c r="D547" s="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1"/>
      <c r="B548" s="2"/>
      <c r="C548" s="3"/>
      <c r="D548" s="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1"/>
      <c r="B549" s="2"/>
      <c r="C549" s="3"/>
      <c r="D549" s="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1"/>
      <c r="B550" s="2"/>
      <c r="C550" s="3"/>
      <c r="D550" s="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1"/>
      <c r="B551" s="2"/>
      <c r="C551" s="3"/>
      <c r="D551" s="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1"/>
      <c r="B552" s="2"/>
      <c r="C552" s="3"/>
      <c r="D552" s="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1"/>
      <c r="B553" s="2"/>
      <c r="C553" s="3"/>
      <c r="D553" s="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1"/>
      <c r="B554" s="2"/>
      <c r="C554" s="3"/>
      <c r="D554" s="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1"/>
      <c r="B555" s="2"/>
      <c r="C555" s="3"/>
      <c r="D555" s="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1"/>
      <c r="B556" s="2"/>
      <c r="C556" s="3"/>
      <c r="D556" s="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1"/>
      <c r="B557" s="2"/>
      <c r="C557" s="3"/>
      <c r="D557" s="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1"/>
      <c r="B558" s="2"/>
      <c r="C558" s="3"/>
      <c r="D558" s="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1"/>
      <c r="B559" s="2"/>
      <c r="C559" s="3"/>
      <c r="D559" s="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1"/>
      <c r="B560" s="2"/>
      <c r="C560" s="3"/>
      <c r="D560" s="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1"/>
      <c r="B561" s="2"/>
      <c r="C561" s="3"/>
      <c r="D561" s="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1"/>
      <c r="B562" s="2"/>
      <c r="C562" s="3"/>
      <c r="D562" s="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1"/>
      <c r="B563" s="2"/>
      <c r="C563" s="3"/>
      <c r="D563" s="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1"/>
      <c r="B564" s="2"/>
      <c r="C564" s="3"/>
      <c r="D564" s="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1"/>
      <c r="B565" s="2"/>
      <c r="C565" s="3"/>
      <c r="D565" s="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1"/>
      <c r="B566" s="2"/>
      <c r="C566" s="3"/>
      <c r="D566" s="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1"/>
      <c r="B567" s="2"/>
      <c r="C567" s="3"/>
      <c r="D567" s="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1"/>
      <c r="B568" s="2"/>
      <c r="C568" s="3"/>
      <c r="D568" s="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1"/>
      <c r="B569" s="2"/>
      <c r="C569" s="3"/>
      <c r="D569" s="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1"/>
      <c r="B570" s="2"/>
      <c r="C570" s="3"/>
      <c r="D570" s="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1"/>
      <c r="B571" s="2"/>
      <c r="C571" s="3"/>
      <c r="D571" s="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1"/>
      <c r="B572" s="2"/>
      <c r="C572" s="3"/>
      <c r="D572" s="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1"/>
      <c r="B573" s="2"/>
      <c r="C573" s="3"/>
      <c r="D573" s="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1"/>
      <c r="B574" s="2"/>
      <c r="C574" s="3"/>
      <c r="D574" s="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1"/>
      <c r="B575" s="2"/>
      <c r="C575" s="3"/>
      <c r="D575" s="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1"/>
      <c r="B576" s="2"/>
      <c r="C576" s="3"/>
      <c r="D576" s="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1"/>
      <c r="B577" s="2"/>
      <c r="C577" s="3"/>
      <c r="D577" s="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1"/>
      <c r="B578" s="2"/>
      <c r="C578" s="3"/>
      <c r="D578" s="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1"/>
      <c r="B579" s="2"/>
      <c r="C579" s="3"/>
      <c r="D579" s="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1"/>
      <c r="B580" s="2"/>
      <c r="C580" s="3"/>
      <c r="D580" s="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1"/>
      <c r="B581" s="2"/>
      <c r="C581" s="3"/>
      <c r="D581" s="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1"/>
      <c r="B582" s="2"/>
      <c r="C582" s="3"/>
      <c r="D582" s="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1"/>
      <c r="B583" s="2"/>
      <c r="C583" s="3"/>
      <c r="D583" s="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1"/>
      <c r="B584" s="2"/>
      <c r="C584" s="3"/>
      <c r="D584" s="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1"/>
      <c r="B585" s="2"/>
      <c r="C585" s="3"/>
      <c r="D585" s="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1"/>
      <c r="B586" s="2"/>
      <c r="C586" s="3"/>
      <c r="D586" s="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1"/>
      <c r="B587" s="2"/>
      <c r="C587" s="3"/>
      <c r="D587" s="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1"/>
      <c r="B588" s="2"/>
      <c r="C588" s="3"/>
      <c r="D588" s="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1"/>
      <c r="B589" s="2"/>
      <c r="C589" s="3"/>
      <c r="D589" s="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1"/>
      <c r="B590" s="2"/>
      <c r="C590" s="3"/>
      <c r="D590" s="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1"/>
      <c r="B591" s="2"/>
      <c r="C591" s="3"/>
      <c r="D591" s="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1"/>
      <c r="B592" s="2"/>
      <c r="C592" s="3"/>
      <c r="D592" s="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1"/>
      <c r="B593" s="2"/>
      <c r="C593" s="3"/>
      <c r="D593" s="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1"/>
      <c r="B594" s="2"/>
      <c r="C594" s="3"/>
      <c r="D594" s="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1"/>
      <c r="B595" s="2"/>
      <c r="C595" s="3"/>
      <c r="D595" s="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1"/>
      <c r="B596" s="2"/>
      <c r="C596" s="3"/>
      <c r="D596" s="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1"/>
      <c r="B597" s="2"/>
      <c r="C597" s="3"/>
      <c r="D597" s="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1"/>
      <c r="B598" s="2"/>
      <c r="C598" s="3"/>
      <c r="D598" s="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1"/>
      <c r="B599" s="2"/>
      <c r="C599" s="3"/>
      <c r="D599" s="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1"/>
      <c r="B600" s="2"/>
      <c r="C600" s="3"/>
      <c r="D600" s="3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1"/>
      <c r="B601" s="2"/>
      <c r="C601" s="3"/>
      <c r="D601" s="3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1"/>
      <c r="B602" s="2"/>
      <c r="C602" s="3"/>
      <c r="D602" s="3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1"/>
      <c r="B603" s="2"/>
      <c r="C603" s="3"/>
      <c r="D603" s="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1"/>
      <c r="B604" s="2"/>
      <c r="C604" s="3"/>
      <c r="D604" s="3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1"/>
      <c r="B605" s="2"/>
      <c r="C605" s="3"/>
      <c r="D605" s="3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1"/>
      <c r="B606" s="2"/>
      <c r="C606" s="3"/>
      <c r="D606" s="3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1"/>
      <c r="B607" s="2"/>
      <c r="C607" s="3"/>
      <c r="D607" s="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1"/>
      <c r="B608" s="2"/>
      <c r="C608" s="3"/>
      <c r="D608" s="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1"/>
      <c r="B609" s="2"/>
      <c r="C609" s="3"/>
      <c r="D609" s="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1"/>
      <c r="B610" s="2"/>
      <c r="C610" s="3"/>
      <c r="D610" s="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1"/>
      <c r="B611" s="2"/>
      <c r="C611" s="3"/>
      <c r="D611" s="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1"/>
      <c r="B612" s="2"/>
      <c r="C612" s="3"/>
      <c r="D612" s="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1"/>
      <c r="B613" s="2"/>
      <c r="C613" s="3"/>
      <c r="D613" s="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1"/>
      <c r="B614" s="2"/>
      <c r="C614" s="3"/>
      <c r="D614" s="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1"/>
      <c r="B615" s="2"/>
      <c r="C615" s="3"/>
      <c r="D615" s="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1"/>
      <c r="B616" s="2"/>
      <c r="C616" s="3"/>
      <c r="D616" s="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1"/>
      <c r="B617" s="2"/>
      <c r="C617" s="3"/>
      <c r="D617" s="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1"/>
      <c r="B618" s="2"/>
      <c r="C618" s="3"/>
      <c r="D618" s="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1"/>
      <c r="B619" s="2"/>
      <c r="C619" s="3"/>
      <c r="D619" s="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1"/>
      <c r="B620" s="2"/>
      <c r="C620" s="3"/>
      <c r="D620" s="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1"/>
      <c r="B621" s="2"/>
      <c r="C621" s="3"/>
      <c r="D621" s="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1"/>
      <c r="B622" s="2"/>
      <c r="C622" s="3"/>
      <c r="D622" s="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1"/>
      <c r="B623" s="2"/>
      <c r="C623" s="3"/>
      <c r="D623" s="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1"/>
      <c r="B624" s="2"/>
      <c r="C624" s="3"/>
      <c r="D624" s="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1"/>
      <c r="B625" s="2"/>
      <c r="C625" s="3"/>
      <c r="D625" s="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1"/>
      <c r="B626" s="2"/>
      <c r="C626" s="3"/>
      <c r="D626" s="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1"/>
      <c r="B627" s="2"/>
      <c r="C627" s="3"/>
      <c r="D627" s="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1"/>
      <c r="B628" s="2"/>
      <c r="C628" s="3"/>
      <c r="D628" s="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1"/>
      <c r="B629" s="2"/>
      <c r="C629" s="3"/>
      <c r="D629" s="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1"/>
      <c r="B630" s="2"/>
      <c r="C630" s="3"/>
      <c r="D630" s="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1"/>
      <c r="B631" s="2"/>
      <c r="C631" s="3"/>
      <c r="D631" s="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1"/>
      <c r="B632" s="2"/>
      <c r="C632" s="3"/>
      <c r="D632" s="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1"/>
      <c r="B633" s="2"/>
      <c r="C633" s="3"/>
      <c r="D633" s="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1"/>
      <c r="B634" s="2"/>
      <c r="C634" s="3"/>
      <c r="D634" s="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1"/>
      <c r="B635" s="2"/>
      <c r="C635" s="3"/>
      <c r="D635" s="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1"/>
      <c r="B636" s="2"/>
      <c r="C636" s="3"/>
      <c r="D636" s="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1"/>
      <c r="B637" s="2"/>
      <c r="C637" s="3"/>
      <c r="D637" s="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1"/>
      <c r="B638" s="2"/>
      <c r="C638" s="3"/>
      <c r="D638" s="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1"/>
      <c r="B639" s="2"/>
      <c r="C639" s="3"/>
      <c r="D639" s="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1"/>
      <c r="B640" s="2"/>
      <c r="C640" s="3"/>
      <c r="D640" s="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1"/>
      <c r="B641" s="2"/>
      <c r="C641" s="3"/>
      <c r="D641" s="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1"/>
      <c r="B642" s="2"/>
      <c r="C642" s="3"/>
      <c r="D642" s="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1"/>
      <c r="B643" s="2"/>
      <c r="C643" s="3"/>
      <c r="D643" s="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1"/>
      <c r="B644" s="2"/>
      <c r="C644" s="3"/>
      <c r="D644" s="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1"/>
      <c r="B645" s="2"/>
      <c r="C645" s="3"/>
      <c r="D645" s="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1"/>
      <c r="B646" s="2"/>
      <c r="C646" s="3"/>
      <c r="D646" s="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1"/>
      <c r="B647" s="2"/>
      <c r="C647" s="3"/>
      <c r="D647" s="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1"/>
      <c r="B648" s="2"/>
      <c r="C648" s="3"/>
      <c r="D648" s="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1"/>
      <c r="B649" s="2"/>
      <c r="C649" s="3"/>
      <c r="D649" s="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1"/>
      <c r="B650" s="2"/>
      <c r="C650" s="3"/>
      <c r="D650" s="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1"/>
      <c r="B651" s="2"/>
      <c r="C651" s="3"/>
      <c r="D651" s="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1"/>
      <c r="B652" s="2"/>
      <c r="C652" s="3"/>
      <c r="D652" s="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1"/>
      <c r="B653" s="2"/>
      <c r="C653" s="3"/>
      <c r="D653" s="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1"/>
      <c r="B654" s="2"/>
      <c r="C654" s="3"/>
      <c r="D654" s="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1"/>
      <c r="B655" s="2"/>
      <c r="C655" s="3"/>
      <c r="D655" s="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1"/>
      <c r="B656" s="2"/>
      <c r="C656" s="3"/>
      <c r="D656" s="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1"/>
      <c r="B657" s="2"/>
      <c r="C657" s="3"/>
      <c r="D657" s="3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1"/>
      <c r="B658" s="2"/>
      <c r="C658" s="3"/>
      <c r="D658" s="3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1"/>
      <c r="B659" s="2"/>
      <c r="C659" s="3"/>
      <c r="D659" s="3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1"/>
      <c r="B660" s="2"/>
      <c r="C660" s="3"/>
      <c r="D660" s="3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1"/>
      <c r="B661" s="2"/>
      <c r="C661" s="3"/>
      <c r="D661" s="3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1"/>
      <c r="B662" s="2"/>
      <c r="C662" s="3"/>
      <c r="D662" s="3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1"/>
      <c r="B663" s="2"/>
      <c r="C663" s="3"/>
      <c r="D663" s="3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1"/>
      <c r="B664" s="2"/>
      <c r="C664" s="3"/>
      <c r="D664" s="3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1"/>
      <c r="B665" s="2"/>
      <c r="C665" s="3"/>
      <c r="D665" s="3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1"/>
      <c r="B666" s="2"/>
      <c r="C666" s="3"/>
      <c r="D666" s="3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1"/>
      <c r="B667" s="2"/>
      <c r="C667" s="3"/>
      <c r="D667" s="3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1"/>
      <c r="B668" s="2"/>
      <c r="C668" s="3"/>
      <c r="D668" s="3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1"/>
      <c r="B669" s="2"/>
      <c r="C669" s="3"/>
      <c r="D669" s="3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1"/>
      <c r="B670" s="2"/>
      <c r="C670" s="3"/>
      <c r="D670" s="3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1"/>
      <c r="B671" s="2"/>
      <c r="C671" s="3"/>
      <c r="D671" s="3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1"/>
      <c r="B672" s="2"/>
      <c r="C672" s="3"/>
      <c r="D672" s="3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1"/>
      <c r="B673" s="2"/>
      <c r="C673" s="3"/>
      <c r="D673" s="3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1"/>
      <c r="B674" s="2"/>
      <c r="C674" s="3"/>
      <c r="D674" s="3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1"/>
      <c r="B675" s="2"/>
      <c r="C675" s="3"/>
      <c r="D675" s="3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1"/>
      <c r="B676" s="2"/>
      <c r="C676" s="3"/>
      <c r="D676" s="3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1"/>
      <c r="B677" s="2"/>
      <c r="C677" s="3"/>
      <c r="D677" s="3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1"/>
      <c r="B678" s="2"/>
      <c r="C678" s="3"/>
      <c r="D678" s="3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1"/>
      <c r="B679" s="2"/>
      <c r="C679" s="3"/>
      <c r="D679" s="3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1"/>
      <c r="B680" s="2"/>
      <c r="C680" s="3"/>
      <c r="D680" s="3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1"/>
      <c r="B681" s="2"/>
      <c r="C681" s="3"/>
      <c r="D681" s="3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1"/>
      <c r="B682" s="2"/>
      <c r="C682" s="3"/>
      <c r="D682" s="3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1"/>
      <c r="B683" s="2"/>
      <c r="C683" s="3"/>
      <c r="D683" s="3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1"/>
      <c r="B684" s="2"/>
      <c r="C684" s="3"/>
      <c r="D684" s="3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1"/>
      <c r="B685" s="2"/>
      <c r="C685" s="3"/>
      <c r="D685" s="3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1"/>
      <c r="B686" s="2"/>
      <c r="C686" s="3"/>
      <c r="D686" s="3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1"/>
      <c r="B687" s="2"/>
      <c r="C687" s="3"/>
      <c r="D687" s="3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1"/>
      <c r="B688" s="2"/>
      <c r="C688" s="3"/>
      <c r="D688" s="3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1"/>
      <c r="B689" s="2"/>
      <c r="C689" s="3"/>
      <c r="D689" s="3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1"/>
      <c r="B690" s="2"/>
      <c r="C690" s="3"/>
      <c r="D690" s="3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1"/>
      <c r="B691" s="2"/>
      <c r="C691" s="3"/>
      <c r="D691" s="3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1"/>
      <c r="B692" s="2"/>
      <c r="C692" s="3"/>
      <c r="D692" s="3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1"/>
      <c r="B693" s="2"/>
      <c r="C693" s="3"/>
      <c r="D693" s="3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1"/>
      <c r="B694" s="2"/>
      <c r="C694" s="3"/>
      <c r="D694" s="3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1"/>
      <c r="B695" s="2"/>
      <c r="C695" s="3"/>
      <c r="D695" s="3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1"/>
      <c r="B696" s="2"/>
      <c r="C696" s="3"/>
      <c r="D696" s="3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1"/>
      <c r="B697" s="2"/>
      <c r="C697" s="3"/>
      <c r="D697" s="3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1"/>
      <c r="B698" s="2"/>
      <c r="C698" s="3"/>
      <c r="D698" s="3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1"/>
      <c r="B699" s="2"/>
      <c r="C699" s="3"/>
      <c r="D699" s="3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1"/>
      <c r="B700" s="2"/>
      <c r="C700" s="3"/>
      <c r="D700" s="3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1"/>
      <c r="B701" s="2"/>
      <c r="C701" s="3"/>
      <c r="D701" s="3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1"/>
      <c r="B702" s="2"/>
      <c r="C702" s="3"/>
      <c r="D702" s="3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1"/>
      <c r="B703" s="2"/>
      <c r="C703" s="3"/>
      <c r="D703" s="3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1"/>
      <c r="B704" s="2"/>
      <c r="C704" s="3"/>
      <c r="D704" s="3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1"/>
      <c r="B705" s="2"/>
      <c r="C705" s="3"/>
      <c r="D705" s="3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1"/>
      <c r="B706" s="2"/>
      <c r="C706" s="3"/>
      <c r="D706" s="3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1"/>
      <c r="B707" s="2"/>
      <c r="C707" s="3"/>
      <c r="D707" s="3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1"/>
      <c r="B708" s="2"/>
      <c r="C708" s="3"/>
      <c r="D708" s="3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1"/>
      <c r="B709" s="2"/>
      <c r="C709" s="3"/>
      <c r="D709" s="3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1"/>
      <c r="B710" s="2"/>
      <c r="C710" s="3"/>
      <c r="D710" s="3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1"/>
      <c r="B711" s="2"/>
      <c r="C711" s="3"/>
      <c r="D711" s="3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1"/>
      <c r="B712" s="2"/>
      <c r="C712" s="3"/>
      <c r="D712" s="3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1"/>
      <c r="B713" s="2"/>
      <c r="C713" s="3"/>
      <c r="D713" s="3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1"/>
      <c r="B714" s="2"/>
      <c r="C714" s="3"/>
      <c r="D714" s="3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1"/>
      <c r="B715" s="2"/>
      <c r="C715" s="3"/>
      <c r="D715" s="3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1"/>
      <c r="B716" s="2"/>
      <c r="C716" s="3"/>
      <c r="D716" s="3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1"/>
      <c r="B717" s="2"/>
      <c r="C717" s="3"/>
      <c r="D717" s="3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1"/>
      <c r="B718" s="2"/>
      <c r="C718" s="3"/>
      <c r="D718" s="3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1"/>
      <c r="B719" s="2"/>
      <c r="C719" s="3"/>
      <c r="D719" s="3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1"/>
      <c r="B720" s="2"/>
      <c r="C720" s="3"/>
      <c r="D720" s="3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1"/>
      <c r="B721" s="2"/>
      <c r="C721" s="3"/>
      <c r="D721" s="3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1"/>
      <c r="B722" s="2"/>
      <c r="C722" s="3"/>
      <c r="D722" s="3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1"/>
      <c r="B723" s="2"/>
      <c r="C723" s="3"/>
      <c r="D723" s="3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1"/>
      <c r="B724" s="2"/>
      <c r="C724" s="3"/>
      <c r="D724" s="3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1"/>
      <c r="B725" s="2"/>
      <c r="C725" s="3"/>
      <c r="D725" s="3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1"/>
      <c r="B726" s="2"/>
      <c r="C726" s="3"/>
      <c r="D726" s="3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1"/>
      <c r="B727" s="2"/>
      <c r="C727" s="3"/>
      <c r="D727" s="3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1"/>
      <c r="B728" s="2"/>
      <c r="C728" s="3"/>
      <c r="D728" s="3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1"/>
      <c r="B729" s="2"/>
      <c r="C729" s="3"/>
      <c r="D729" s="3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1"/>
      <c r="B730" s="2"/>
      <c r="C730" s="3"/>
      <c r="D730" s="3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1"/>
      <c r="B731" s="2"/>
      <c r="C731" s="3"/>
      <c r="D731" s="3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1"/>
      <c r="B732" s="2"/>
      <c r="C732" s="3"/>
      <c r="D732" s="3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1"/>
      <c r="B733" s="2"/>
      <c r="C733" s="3"/>
      <c r="D733" s="3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1"/>
      <c r="B734" s="2"/>
      <c r="C734" s="3"/>
      <c r="D734" s="3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1"/>
      <c r="B735" s="2"/>
      <c r="C735" s="3"/>
      <c r="D735" s="3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1"/>
      <c r="B736" s="2"/>
      <c r="C736" s="3"/>
      <c r="D736" s="3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1"/>
      <c r="B737" s="2"/>
      <c r="C737" s="3"/>
      <c r="D737" s="3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1"/>
      <c r="B738" s="2"/>
      <c r="C738" s="3"/>
      <c r="D738" s="3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1"/>
      <c r="B739" s="2"/>
      <c r="C739" s="3"/>
      <c r="D739" s="3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1"/>
      <c r="B740" s="2"/>
      <c r="C740" s="3"/>
      <c r="D740" s="3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1"/>
      <c r="B741" s="2"/>
      <c r="C741" s="3"/>
      <c r="D741" s="3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1"/>
      <c r="B742" s="2"/>
      <c r="C742" s="3"/>
      <c r="D742" s="3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1"/>
      <c r="B743" s="2"/>
      <c r="C743" s="3"/>
      <c r="D743" s="3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1"/>
      <c r="B744" s="2"/>
      <c r="C744" s="3"/>
      <c r="D744" s="3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1"/>
      <c r="B745" s="2"/>
      <c r="C745" s="3"/>
      <c r="D745" s="3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1"/>
      <c r="B746" s="2"/>
      <c r="C746" s="3"/>
      <c r="D746" s="3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1"/>
      <c r="B747" s="2"/>
      <c r="C747" s="3"/>
      <c r="D747" s="3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1"/>
      <c r="B748" s="2"/>
      <c r="C748" s="3"/>
      <c r="D748" s="3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1"/>
      <c r="B749" s="2"/>
      <c r="C749" s="3"/>
      <c r="D749" s="3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1"/>
      <c r="B750" s="2"/>
      <c r="C750" s="3"/>
      <c r="D750" s="3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1"/>
      <c r="B751" s="2"/>
      <c r="C751" s="3"/>
      <c r="D751" s="3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1"/>
      <c r="B752" s="2"/>
      <c r="C752" s="3"/>
      <c r="D752" s="3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1"/>
      <c r="B753" s="2"/>
      <c r="C753" s="3"/>
      <c r="D753" s="3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1"/>
      <c r="B754" s="2"/>
      <c r="C754" s="3"/>
      <c r="D754" s="3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1"/>
      <c r="B755" s="2"/>
      <c r="C755" s="3"/>
      <c r="D755" s="3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1"/>
      <c r="B756" s="2"/>
      <c r="C756" s="3"/>
      <c r="D756" s="3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1"/>
      <c r="B757" s="2"/>
      <c r="C757" s="3"/>
      <c r="D757" s="3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1"/>
      <c r="B758" s="2"/>
      <c r="C758" s="3"/>
      <c r="D758" s="3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1"/>
      <c r="B759" s="2"/>
      <c r="C759" s="3"/>
      <c r="D759" s="3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1"/>
      <c r="B760" s="2"/>
      <c r="C760" s="3"/>
      <c r="D760" s="3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1"/>
      <c r="B761" s="2"/>
      <c r="C761" s="3"/>
      <c r="D761" s="3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1"/>
      <c r="B762" s="2"/>
      <c r="C762" s="3"/>
      <c r="D762" s="3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1"/>
      <c r="B763" s="2"/>
      <c r="C763" s="3"/>
      <c r="D763" s="3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1"/>
      <c r="B764" s="2"/>
      <c r="C764" s="3"/>
      <c r="D764" s="3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1"/>
      <c r="B765" s="2"/>
      <c r="C765" s="3"/>
      <c r="D765" s="3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1"/>
      <c r="B766" s="2"/>
      <c r="C766" s="3"/>
      <c r="D766" s="3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1"/>
      <c r="B767" s="2"/>
      <c r="C767" s="3"/>
      <c r="D767" s="3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1"/>
      <c r="B768" s="2"/>
      <c r="C768" s="3"/>
      <c r="D768" s="3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1"/>
      <c r="B769" s="2"/>
      <c r="C769" s="3"/>
      <c r="D769" s="3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1"/>
      <c r="B770" s="2"/>
      <c r="C770" s="3"/>
      <c r="D770" s="3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1"/>
      <c r="B771" s="2"/>
      <c r="C771" s="3"/>
      <c r="D771" s="3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1"/>
      <c r="B772" s="2"/>
      <c r="C772" s="3"/>
      <c r="D772" s="3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1"/>
      <c r="B773" s="2"/>
      <c r="C773" s="3"/>
      <c r="D773" s="3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1"/>
      <c r="B774" s="2"/>
      <c r="C774" s="3"/>
      <c r="D774" s="3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1"/>
      <c r="B775" s="2"/>
      <c r="C775" s="3"/>
      <c r="D775" s="3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1"/>
      <c r="B776" s="2"/>
      <c r="C776" s="3"/>
      <c r="D776" s="3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1"/>
      <c r="B777" s="2"/>
      <c r="C777" s="3"/>
      <c r="D777" s="3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1"/>
      <c r="B778" s="2"/>
      <c r="C778" s="3"/>
      <c r="D778" s="3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1"/>
      <c r="B779" s="2"/>
      <c r="C779" s="3"/>
      <c r="D779" s="3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1"/>
      <c r="B780" s="2"/>
      <c r="C780" s="3"/>
      <c r="D780" s="3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1"/>
      <c r="B781" s="2"/>
      <c r="C781" s="3"/>
      <c r="D781" s="3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1"/>
      <c r="B782" s="2"/>
      <c r="C782" s="3"/>
      <c r="D782" s="3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1"/>
      <c r="B783" s="2"/>
      <c r="C783" s="3"/>
      <c r="D783" s="3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1"/>
      <c r="B784" s="2"/>
      <c r="C784" s="3"/>
      <c r="D784" s="3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1"/>
      <c r="B785" s="2"/>
      <c r="C785" s="3"/>
      <c r="D785" s="3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1"/>
      <c r="B786" s="2"/>
      <c r="C786" s="3"/>
      <c r="D786" s="3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1"/>
      <c r="B787" s="2"/>
      <c r="C787" s="3"/>
      <c r="D787" s="3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1"/>
      <c r="B788" s="2"/>
      <c r="C788" s="3"/>
      <c r="D788" s="3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1"/>
      <c r="B789" s="2"/>
      <c r="C789" s="3"/>
      <c r="D789" s="3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1"/>
      <c r="B790" s="2"/>
      <c r="C790" s="3"/>
      <c r="D790" s="3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1"/>
      <c r="B791" s="2"/>
      <c r="C791" s="3"/>
      <c r="D791" s="3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1"/>
      <c r="B792" s="2"/>
      <c r="C792" s="3"/>
      <c r="D792" s="3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1"/>
      <c r="B793" s="2"/>
      <c r="C793" s="3"/>
      <c r="D793" s="3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1"/>
      <c r="B794" s="2"/>
      <c r="C794" s="3"/>
      <c r="D794" s="3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1"/>
      <c r="B795" s="2"/>
      <c r="C795" s="3"/>
      <c r="D795" s="3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1"/>
      <c r="B796" s="2"/>
      <c r="C796" s="3"/>
      <c r="D796" s="3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1"/>
      <c r="B797" s="2"/>
      <c r="C797" s="3"/>
      <c r="D797" s="3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1"/>
      <c r="B798" s="2"/>
      <c r="C798" s="3"/>
      <c r="D798" s="3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1"/>
      <c r="B799" s="2"/>
      <c r="C799" s="3"/>
      <c r="D799" s="3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1"/>
      <c r="B800" s="2"/>
      <c r="C800" s="3"/>
      <c r="D800" s="3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1"/>
      <c r="B801" s="2"/>
      <c r="C801" s="3"/>
      <c r="D801" s="3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1"/>
      <c r="B802" s="2"/>
      <c r="C802" s="3"/>
      <c r="D802" s="3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1"/>
      <c r="B803" s="2"/>
      <c r="C803" s="3"/>
      <c r="D803" s="3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1"/>
      <c r="B804" s="2"/>
      <c r="C804" s="3"/>
      <c r="D804" s="3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1"/>
      <c r="B805" s="2"/>
      <c r="C805" s="3"/>
      <c r="D805" s="3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1"/>
      <c r="B806" s="2"/>
      <c r="C806" s="3"/>
      <c r="D806" s="3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1"/>
      <c r="B807" s="2"/>
      <c r="C807" s="3"/>
      <c r="D807" s="3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1"/>
      <c r="B808" s="2"/>
      <c r="C808" s="3"/>
      <c r="D808" s="3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1"/>
      <c r="B809" s="2"/>
      <c r="C809" s="3"/>
      <c r="D809" s="3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1"/>
      <c r="B810" s="2"/>
      <c r="C810" s="3"/>
      <c r="D810" s="3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1"/>
      <c r="B811" s="2"/>
      <c r="C811" s="3"/>
      <c r="D811" s="3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1"/>
      <c r="B812" s="2"/>
      <c r="C812" s="3"/>
      <c r="D812" s="3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1"/>
      <c r="B813" s="2"/>
      <c r="C813" s="3"/>
      <c r="D813" s="3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1"/>
      <c r="B814" s="2"/>
      <c r="C814" s="3"/>
      <c r="D814" s="3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1"/>
      <c r="B815" s="2"/>
      <c r="C815" s="3"/>
      <c r="D815" s="3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1"/>
      <c r="B816" s="2"/>
      <c r="C816" s="3"/>
      <c r="D816" s="3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1"/>
      <c r="B817" s="2"/>
      <c r="C817" s="3"/>
      <c r="D817" s="3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1"/>
      <c r="B818" s="2"/>
      <c r="C818" s="3"/>
      <c r="D818" s="3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1"/>
      <c r="B819" s="2"/>
      <c r="C819" s="3"/>
      <c r="D819" s="3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1"/>
      <c r="B820" s="2"/>
      <c r="C820" s="3"/>
      <c r="D820" s="3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1"/>
      <c r="B821" s="2"/>
      <c r="C821" s="3"/>
      <c r="D821" s="3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1"/>
      <c r="B822" s="2"/>
      <c r="C822" s="3"/>
      <c r="D822" s="3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1"/>
      <c r="B823" s="2"/>
      <c r="C823" s="3"/>
      <c r="D823" s="3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1"/>
      <c r="B824" s="2"/>
      <c r="C824" s="3"/>
      <c r="D824" s="3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1"/>
      <c r="B825" s="2"/>
      <c r="C825" s="3"/>
      <c r="D825" s="3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1"/>
      <c r="B826" s="2"/>
      <c r="C826" s="3"/>
      <c r="D826" s="3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1"/>
      <c r="B827" s="2"/>
      <c r="C827" s="3"/>
      <c r="D827" s="3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1"/>
      <c r="B828" s="2"/>
      <c r="C828" s="3"/>
      <c r="D828" s="3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1"/>
      <c r="B829" s="2"/>
      <c r="C829" s="3"/>
      <c r="D829" s="3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1"/>
      <c r="B830" s="2"/>
      <c r="C830" s="3"/>
      <c r="D830" s="3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1"/>
      <c r="B831" s="2"/>
      <c r="C831" s="3"/>
      <c r="D831" s="3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1"/>
      <c r="B832" s="2"/>
      <c r="C832" s="3"/>
      <c r="D832" s="3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1"/>
      <c r="B833" s="2"/>
      <c r="C833" s="3"/>
      <c r="D833" s="3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1"/>
      <c r="B834" s="2"/>
      <c r="C834" s="3"/>
      <c r="D834" s="3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1"/>
      <c r="B835" s="2"/>
      <c r="C835" s="3"/>
      <c r="D835" s="3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1"/>
      <c r="B836" s="2"/>
      <c r="C836" s="3"/>
      <c r="D836" s="3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1"/>
      <c r="B837" s="2"/>
      <c r="C837" s="3"/>
      <c r="D837" s="3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1"/>
      <c r="B838" s="2"/>
      <c r="C838" s="3"/>
      <c r="D838" s="3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1"/>
      <c r="B839" s="2"/>
      <c r="C839" s="3"/>
      <c r="D839" s="3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1"/>
      <c r="B840" s="2"/>
      <c r="C840" s="3"/>
      <c r="D840" s="3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1"/>
      <c r="B841" s="2"/>
      <c r="C841" s="3"/>
      <c r="D841" s="3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1"/>
      <c r="B842" s="2"/>
      <c r="C842" s="3"/>
      <c r="D842" s="3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1"/>
      <c r="B843" s="2"/>
      <c r="C843" s="3"/>
      <c r="D843" s="3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1"/>
      <c r="B844" s="2"/>
      <c r="C844" s="3"/>
      <c r="D844" s="3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1"/>
      <c r="B845" s="2"/>
      <c r="C845" s="3"/>
      <c r="D845" s="3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1"/>
      <c r="B846" s="2"/>
      <c r="C846" s="3"/>
      <c r="D846" s="3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1"/>
      <c r="B847" s="2"/>
      <c r="C847" s="3"/>
      <c r="D847" s="3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1"/>
      <c r="B848" s="2"/>
      <c r="C848" s="3"/>
      <c r="D848" s="3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1"/>
      <c r="B849" s="2"/>
      <c r="C849" s="3"/>
      <c r="D849" s="3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1"/>
      <c r="B850" s="2"/>
      <c r="C850" s="3"/>
      <c r="D850" s="3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1"/>
      <c r="B851" s="2"/>
      <c r="C851" s="3"/>
      <c r="D851" s="3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1"/>
      <c r="B852" s="2"/>
      <c r="C852" s="3"/>
      <c r="D852" s="3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1"/>
      <c r="B853" s="2"/>
      <c r="C853" s="3"/>
      <c r="D853" s="3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1"/>
      <c r="B854" s="2"/>
      <c r="C854" s="3"/>
      <c r="D854" s="3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1"/>
      <c r="B855" s="2"/>
      <c r="C855" s="3"/>
      <c r="D855" s="3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1"/>
      <c r="B856" s="2"/>
      <c r="C856" s="3"/>
      <c r="D856" s="3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1"/>
      <c r="B857" s="2"/>
      <c r="C857" s="3"/>
      <c r="D857" s="3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1"/>
      <c r="B858" s="2"/>
      <c r="C858" s="3"/>
      <c r="D858" s="3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1"/>
      <c r="B859" s="2"/>
      <c r="C859" s="3"/>
      <c r="D859" s="3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1"/>
      <c r="B860" s="2"/>
      <c r="C860" s="3"/>
      <c r="D860" s="3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1"/>
      <c r="B861" s="2"/>
      <c r="C861" s="3"/>
      <c r="D861" s="3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1"/>
      <c r="B862" s="2"/>
      <c r="C862" s="3"/>
      <c r="D862" s="3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1"/>
      <c r="B863" s="2"/>
      <c r="C863" s="3"/>
      <c r="D863" s="3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1"/>
      <c r="B864" s="2"/>
      <c r="C864" s="3"/>
      <c r="D864" s="3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1"/>
      <c r="B865" s="2"/>
      <c r="C865" s="3"/>
      <c r="D865" s="3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1"/>
      <c r="B866" s="2"/>
      <c r="C866" s="3"/>
      <c r="D866" s="3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1"/>
      <c r="B867" s="2"/>
      <c r="C867" s="3"/>
      <c r="D867" s="3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1"/>
      <c r="B868" s="2"/>
      <c r="C868" s="3"/>
      <c r="D868" s="3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1"/>
      <c r="B869" s="2"/>
      <c r="C869" s="3"/>
      <c r="D869" s="3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1"/>
      <c r="B870" s="2"/>
      <c r="C870" s="3"/>
      <c r="D870" s="3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1"/>
      <c r="B871" s="2"/>
      <c r="C871" s="3"/>
      <c r="D871" s="3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1"/>
      <c r="B872" s="2"/>
      <c r="C872" s="3"/>
      <c r="D872" s="3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1"/>
      <c r="B873" s="2"/>
      <c r="C873" s="3"/>
      <c r="D873" s="3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1"/>
      <c r="B874" s="2"/>
      <c r="C874" s="3"/>
      <c r="D874" s="3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1"/>
      <c r="B875" s="2"/>
      <c r="C875" s="3"/>
      <c r="D875" s="3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1"/>
      <c r="B876" s="2"/>
      <c r="C876" s="3"/>
      <c r="D876" s="3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1"/>
      <c r="B877" s="2"/>
      <c r="C877" s="3"/>
      <c r="D877" s="3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1"/>
      <c r="B878" s="2"/>
      <c r="C878" s="3"/>
      <c r="D878" s="3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1"/>
      <c r="B879" s="2"/>
      <c r="C879" s="3"/>
      <c r="D879" s="3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1"/>
      <c r="B880" s="2"/>
      <c r="C880" s="3"/>
      <c r="D880" s="3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1"/>
      <c r="B881" s="2"/>
      <c r="C881" s="3"/>
      <c r="D881" s="3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1"/>
      <c r="B882" s="2"/>
      <c r="C882" s="3"/>
      <c r="D882" s="3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1"/>
      <c r="B883" s="2"/>
      <c r="C883" s="3"/>
      <c r="D883" s="3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1"/>
      <c r="B884" s="2"/>
      <c r="C884" s="3"/>
      <c r="D884" s="3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1"/>
      <c r="B885" s="2"/>
      <c r="C885" s="3"/>
      <c r="D885" s="3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1"/>
      <c r="B886" s="2"/>
      <c r="C886" s="3"/>
      <c r="D886" s="3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1"/>
      <c r="B887" s="2"/>
      <c r="C887" s="3"/>
      <c r="D887" s="3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1"/>
      <c r="B888" s="2"/>
      <c r="C888" s="3"/>
      <c r="D888" s="3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1"/>
      <c r="B889" s="2"/>
      <c r="C889" s="3"/>
      <c r="D889" s="3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1"/>
      <c r="B890" s="2"/>
      <c r="C890" s="3"/>
      <c r="D890" s="3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1"/>
      <c r="B891" s="2"/>
      <c r="C891" s="3"/>
      <c r="D891" s="3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1"/>
      <c r="B892" s="2"/>
      <c r="C892" s="3"/>
      <c r="D892" s="3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1"/>
      <c r="B893" s="2"/>
      <c r="C893" s="3"/>
      <c r="D893" s="3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1"/>
      <c r="B894" s="2"/>
      <c r="C894" s="3"/>
      <c r="D894" s="3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1"/>
      <c r="B895" s="2"/>
      <c r="C895" s="3"/>
      <c r="D895" s="3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1"/>
      <c r="B896" s="2"/>
      <c r="C896" s="3"/>
      <c r="D896" s="3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1"/>
      <c r="B897" s="2"/>
      <c r="C897" s="3"/>
      <c r="D897" s="3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1"/>
      <c r="B898" s="2"/>
      <c r="C898" s="3"/>
      <c r="D898" s="3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1"/>
      <c r="B899" s="2"/>
      <c r="C899" s="3"/>
      <c r="D899" s="3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1"/>
      <c r="B900" s="2"/>
      <c r="C900" s="3"/>
      <c r="D900" s="3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1"/>
      <c r="B901" s="2"/>
      <c r="C901" s="3"/>
      <c r="D901" s="3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1"/>
      <c r="B902" s="2"/>
      <c r="C902" s="3"/>
      <c r="D902" s="3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1"/>
      <c r="B903" s="2"/>
      <c r="C903" s="3"/>
      <c r="D903" s="3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1"/>
      <c r="B904" s="2"/>
      <c r="C904" s="3"/>
      <c r="D904" s="3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1"/>
      <c r="B905" s="2"/>
      <c r="C905" s="3"/>
      <c r="D905" s="3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1"/>
      <c r="B906" s="2"/>
      <c r="C906" s="3"/>
      <c r="D906" s="3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1"/>
      <c r="B907" s="2"/>
      <c r="C907" s="3"/>
      <c r="D907" s="3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1"/>
      <c r="B908" s="2"/>
      <c r="C908" s="3"/>
      <c r="D908" s="3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1"/>
      <c r="B909" s="2"/>
      <c r="C909" s="3"/>
      <c r="D909" s="3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1"/>
      <c r="B910" s="2"/>
      <c r="C910" s="3"/>
      <c r="D910" s="3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1"/>
      <c r="B911" s="2"/>
      <c r="C911" s="3"/>
      <c r="D911" s="3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1"/>
      <c r="B912" s="2"/>
      <c r="C912" s="3"/>
      <c r="D912" s="3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1"/>
      <c r="B913" s="2"/>
      <c r="C913" s="3"/>
      <c r="D913" s="3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1"/>
      <c r="B914" s="2"/>
      <c r="C914" s="3"/>
      <c r="D914" s="3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1"/>
      <c r="B915" s="2"/>
      <c r="C915" s="3"/>
      <c r="D915" s="3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1"/>
      <c r="B916" s="2"/>
      <c r="C916" s="3"/>
      <c r="D916" s="3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1"/>
      <c r="B917" s="2"/>
      <c r="C917" s="3"/>
      <c r="D917" s="3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1"/>
      <c r="B918" s="2"/>
      <c r="C918" s="3"/>
      <c r="D918" s="3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1"/>
      <c r="B919" s="2"/>
      <c r="C919" s="3"/>
      <c r="D919" s="3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1"/>
      <c r="B920" s="2"/>
      <c r="C920" s="3"/>
      <c r="D920" s="3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1"/>
      <c r="B921" s="2"/>
      <c r="C921" s="3"/>
      <c r="D921" s="3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1"/>
      <c r="B922" s="2"/>
      <c r="C922" s="3"/>
      <c r="D922" s="3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1"/>
      <c r="B923" s="2"/>
      <c r="C923" s="3"/>
      <c r="D923" s="3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1"/>
      <c r="B924" s="2"/>
      <c r="C924" s="3"/>
      <c r="D924" s="3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1"/>
      <c r="B925" s="2"/>
      <c r="C925" s="3"/>
      <c r="D925" s="3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1"/>
      <c r="B926" s="2"/>
      <c r="C926" s="3"/>
      <c r="D926" s="3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1"/>
      <c r="B927" s="2"/>
      <c r="C927" s="3"/>
      <c r="D927" s="3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1"/>
      <c r="B928" s="2"/>
      <c r="C928" s="3"/>
      <c r="D928" s="3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1"/>
      <c r="B929" s="2"/>
      <c r="C929" s="3"/>
      <c r="D929" s="3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1"/>
      <c r="B930" s="2"/>
      <c r="C930" s="3"/>
      <c r="D930" s="3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1"/>
      <c r="B931" s="2"/>
      <c r="C931" s="3"/>
      <c r="D931" s="3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1"/>
      <c r="B932" s="2"/>
      <c r="C932" s="3"/>
      <c r="D932" s="3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1"/>
      <c r="B933" s="2"/>
      <c r="C933" s="3"/>
      <c r="D933" s="3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1"/>
      <c r="B934" s="2"/>
      <c r="C934" s="3"/>
      <c r="D934" s="3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1"/>
      <c r="B935" s="2"/>
      <c r="C935" s="3"/>
      <c r="D935" s="3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1"/>
      <c r="B936" s="2"/>
      <c r="C936" s="3"/>
      <c r="D936" s="3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1"/>
      <c r="B937" s="2"/>
      <c r="C937" s="3"/>
      <c r="D937" s="3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1"/>
      <c r="B938" s="2"/>
      <c r="C938" s="3"/>
      <c r="D938" s="3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1"/>
      <c r="B939" s="2"/>
      <c r="C939" s="3"/>
      <c r="D939" s="3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1"/>
      <c r="B940" s="2"/>
      <c r="C940" s="3"/>
      <c r="D940" s="3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1"/>
      <c r="B941" s="2"/>
      <c r="C941" s="3"/>
      <c r="D941" s="3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1"/>
      <c r="B942" s="2"/>
      <c r="C942" s="3"/>
      <c r="D942" s="3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1"/>
      <c r="B943" s="2"/>
      <c r="C943" s="3"/>
      <c r="D943" s="3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1"/>
      <c r="B944" s="2"/>
      <c r="C944" s="3"/>
      <c r="D944" s="3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1"/>
      <c r="B945" s="2"/>
      <c r="C945" s="3"/>
      <c r="D945" s="3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1"/>
      <c r="B946" s="2"/>
      <c r="C946" s="3"/>
      <c r="D946" s="3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1"/>
      <c r="B947" s="2"/>
      <c r="C947" s="3"/>
      <c r="D947" s="3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1"/>
      <c r="B948" s="2"/>
      <c r="C948" s="3"/>
      <c r="D948" s="3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1"/>
      <c r="B949" s="2"/>
      <c r="C949" s="3"/>
      <c r="D949" s="3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1"/>
      <c r="B950" s="2"/>
      <c r="C950" s="3"/>
      <c r="D950" s="3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1"/>
      <c r="B951" s="2"/>
      <c r="C951" s="3"/>
      <c r="D951" s="3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1"/>
      <c r="B952" s="2"/>
      <c r="C952" s="3"/>
      <c r="D952" s="3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1"/>
      <c r="B953" s="2"/>
      <c r="C953" s="3"/>
      <c r="D953" s="3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1"/>
      <c r="B954" s="2"/>
      <c r="C954" s="3"/>
      <c r="D954" s="3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1"/>
      <c r="B955" s="2"/>
      <c r="C955" s="3"/>
      <c r="D955" s="3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1"/>
      <c r="B956" s="2"/>
      <c r="C956" s="3"/>
      <c r="D956" s="3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1"/>
      <c r="B957" s="2"/>
      <c r="C957" s="3"/>
      <c r="D957" s="3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1"/>
      <c r="B958" s="2"/>
      <c r="C958" s="3"/>
      <c r="D958" s="3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1"/>
      <c r="B959" s="2"/>
      <c r="C959" s="3"/>
      <c r="D959" s="3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1"/>
      <c r="B960" s="2"/>
      <c r="C960" s="3"/>
      <c r="D960" s="3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1"/>
      <c r="B961" s="2"/>
      <c r="C961" s="3"/>
      <c r="D961" s="3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1"/>
      <c r="B962" s="2"/>
      <c r="C962" s="3"/>
      <c r="D962" s="3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1"/>
      <c r="B963" s="2"/>
      <c r="C963" s="3"/>
      <c r="D963" s="3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1"/>
      <c r="B964" s="2"/>
      <c r="C964" s="3"/>
      <c r="D964" s="3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1"/>
      <c r="B965" s="2"/>
      <c r="C965" s="3"/>
      <c r="D965" s="3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1"/>
      <c r="B966" s="2"/>
      <c r="C966" s="3"/>
      <c r="D966" s="3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1"/>
      <c r="B967" s="2"/>
      <c r="C967" s="3"/>
      <c r="D967" s="3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1"/>
      <c r="B968" s="2"/>
      <c r="C968" s="3"/>
      <c r="D968" s="3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1"/>
      <c r="B969" s="2"/>
      <c r="C969" s="3"/>
      <c r="D969" s="3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1"/>
      <c r="B970" s="2"/>
      <c r="C970" s="3"/>
      <c r="D970" s="3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1"/>
      <c r="B971" s="2"/>
      <c r="C971" s="3"/>
      <c r="D971" s="3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1"/>
      <c r="B972" s="2"/>
      <c r="C972" s="3"/>
      <c r="D972" s="3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1"/>
      <c r="B973" s="2"/>
      <c r="C973" s="3"/>
      <c r="D973" s="3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1"/>
      <c r="B974" s="2"/>
      <c r="C974" s="3"/>
      <c r="D974" s="3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1"/>
      <c r="B975" s="2"/>
      <c r="C975" s="3"/>
      <c r="D975" s="3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1"/>
      <c r="B976" s="2"/>
      <c r="C976" s="3"/>
      <c r="D976" s="3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1"/>
      <c r="B977" s="2"/>
      <c r="C977" s="3"/>
      <c r="D977" s="3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1"/>
      <c r="B978" s="2"/>
      <c r="C978" s="3"/>
      <c r="D978" s="3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1"/>
      <c r="B979" s="2"/>
      <c r="C979" s="3"/>
      <c r="D979" s="3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1"/>
      <c r="B980" s="2"/>
      <c r="C980" s="3"/>
      <c r="D980" s="3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1"/>
      <c r="B981" s="2"/>
      <c r="C981" s="3"/>
      <c r="D981" s="3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1"/>
      <c r="B982" s="2"/>
      <c r="C982" s="3"/>
      <c r="D982" s="3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1"/>
      <c r="B983" s="2"/>
      <c r="C983" s="3"/>
      <c r="D983" s="3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1"/>
      <c r="B984" s="2"/>
      <c r="C984" s="3"/>
      <c r="D984" s="3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1"/>
      <c r="B985" s="2"/>
      <c r="C985" s="3"/>
      <c r="D985" s="3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1"/>
      <c r="B986" s="2"/>
      <c r="C986" s="3"/>
      <c r="D986" s="3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1"/>
      <c r="B987" s="2"/>
      <c r="C987" s="3"/>
      <c r="D987" s="3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">
      <c r="A988" s="1"/>
      <c r="B988" s="2"/>
      <c r="C988" s="3"/>
      <c r="D988" s="3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">
      <c r="A989" s="1"/>
      <c r="B989" s="2"/>
      <c r="C989" s="3"/>
      <c r="D989" s="3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">
      <c r="A990" s="1"/>
      <c r="B990" s="2"/>
      <c r="C990" s="3"/>
      <c r="D990" s="3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">
      <c r="A991" s="1"/>
      <c r="B991" s="2"/>
      <c r="C991" s="3"/>
      <c r="D991" s="3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">
      <c r="A992" s="1"/>
      <c r="B992" s="2"/>
      <c r="C992" s="3"/>
      <c r="D992" s="3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">
      <c r="A993" s="1"/>
      <c r="B993" s="2"/>
      <c r="C993" s="3"/>
      <c r="D993" s="3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">
      <c r="A994" s="1"/>
      <c r="B994" s="2"/>
      <c r="C994" s="3"/>
      <c r="D994" s="3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">
      <c r="A995" s="1"/>
      <c r="B995" s="2"/>
      <c r="C995" s="3"/>
      <c r="D995" s="3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">
      <c r="A996" s="1"/>
      <c r="B996" s="2"/>
      <c r="C996" s="3"/>
      <c r="D996" s="3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">
      <c r="A997" s="1"/>
      <c r="B997" s="2"/>
      <c r="C997" s="3"/>
      <c r="D997" s="3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">
      <c r="A998" s="1"/>
      <c r="B998" s="2"/>
      <c r="C998" s="3"/>
      <c r="D998" s="3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">
      <c r="A999" s="1"/>
      <c r="B999" s="2"/>
      <c r="C999" s="3"/>
      <c r="D999" s="3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">
      <c r="A1000" s="1"/>
      <c r="B1000" s="2"/>
      <c r="C1000" s="3"/>
      <c r="D1000" s="3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x14ac:dyDescent="0.2">
      <c r="A1001" s="1"/>
      <c r="B1001" s="2"/>
      <c r="C1001" s="3"/>
      <c r="D1001" s="3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x14ac:dyDescent="0.2">
      <c r="A1002" s="1"/>
      <c r="B1002" s="2"/>
      <c r="C1002" s="3"/>
      <c r="D1002" s="3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x14ac:dyDescent="0.2">
      <c r="A1003" s="1"/>
      <c r="B1003" s="2"/>
      <c r="C1003" s="3"/>
      <c r="D1003" s="3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x14ac:dyDescent="0.2">
      <c r="A1004" s="1"/>
      <c r="B1004" s="2"/>
      <c r="C1004" s="3"/>
      <c r="D1004" s="3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x14ac:dyDescent="0.2">
      <c r="A1005" s="1"/>
      <c r="B1005" s="2"/>
      <c r="C1005" s="3"/>
      <c r="D1005" s="3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x14ac:dyDescent="0.2">
      <c r="A1006" s="1"/>
      <c r="B1006" s="2"/>
      <c r="C1006" s="3"/>
      <c r="D1006" s="3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x14ac:dyDescent="0.2">
      <c r="A1007" s="1"/>
      <c r="B1007" s="2"/>
      <c r="C1007" s="3"/>
      <c r="D1007" s="3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mergeCells count="4">
    <mergeCell ref="A2:E2"/>
    <mergeCell ref="A14:E14"/>
    <mergeCell ref="A25:E25"/>
    <mergeCell ref="A36:E36"/>
  </mergeCells>
  <hyperlinks>
    <hyperlink ref="B7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7"/>
  <sheetViews>
    <sheetView workbookViewId="0"/>
  </sheetViews>
  <sheetFormatPr defaultColWidth="12.5703125" defaultRowHeight="15.75" customHeight="1" x14ac:dyDescent="0.2"/>
  <cols>
    <col min="1" max="1" width="23.28515625" customWidth="1"/>
    <col min="2" max="2" width="17.42578125" customWidth="1"/>
    <col min="3" max="3" width="13.42578125" customWidth="1"/>
    <col min="4" max="4" width="13.5703125" customWidth="1"/>
  </cols>
  <sheetData>
    <row r="1" spans="1:26" x14ac:dyDescent="0.2">
      <c r="A1" s="1"/>
      <c r="B1" s="2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94" t="s">
        <v>22</v>
      </c>
      <c r="B2" s="95"/>
      <c r="C2" s="95"/>
      <c r="D2" s="95"/>
      <c r="E2" s="9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14" t="s">
        <v>1</v>
      </c>
      <c r="B3" s="15" t="s">
        <v>2</v>
      </c>
      <c r="C3" s="16" t="s">
        <v>3</v>
      </c>
      <c r="D3" s="16" t="s">
        <v>4</v>
      </c>
      <c r="E3" s="15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7" t="s">
        <v>6</v>
      </c>
      <c r="B4" s="18" t="s">
        <v>23</v>
      </c>
      <c r="C4" s="19">
        <v>300</v>
      </c>
      <c r="D4" s="19">
        <v>5500</v>
      </c>
      <c r="E4" s="20">
        <f t="shared" ref="E4:E9" si="0">C4+D4</f>
        <v>5800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2">
      <c r="A5" s="21" t="s">
        <v>8</v>
      </c>
      <c r="B5" s="22" t="s">
        <v>24</v>
      </c>
      <c r="C5" s="23">
        <v>600</v>
      </c>
      <c r="D5" s="23">
        <v>6100</v>
      </c>
      <c r="E5" s="24">
        <f t="shared" si="0"/>
        <v>6700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x14ac:dyDescent="0.2">
      <c r="A6" s="17" t="s">
        <v>10</v>
      </c>
      <c r="B6" s="18" t="s">
        <v>25</v>
      </c>
      <c r="C6" s="19">
        <v>900</v>
      </c>
      <c r="D6" s="19">
        <v>6700</v>
      </c>
      <c r="E6" s="20">
        <f t="shared" si="0"/>
        <v>7600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x14ac:dyDescent="0.2">
      <c r="A7" s="21" t="s">
        <v>12</v>
      </c>
      <c r="B7" s="22" t="s">
        <v>26</v>
      </c>
      <c r="C7" s="23">
        <v>1200</v>
      </c>
      <c r="D7" s="23">
        <v>7300</v>
      </c>
      <c r="E7" s="24">
        <f t="shared" si="0"/>
        <v>8500</v>
      </c>
      <c r="F7" s="12"/>
      <c r="G7" s="25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2">
      <c r="A8" s="17" t="s">
        <v>14</v>
      </c>
      <c r="B8" s="18" t="s">
        <v>7</v>
      </c>
      <c r="C8" s="19">
        <v>1500</v>
      </c>
      <c r="D8" s="19">
        <v>7900</v>
      </c>
      <c r="E8" s="20">
        <f t="shared" si="0"/>
        <v>9400</v>
      </c>
      <c r="F8" s="12"/>
      <c r="G8" s="25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x14ac:dyDescent="0.2">
      <c r="A9" s="21" t="s">
        <v>16</v>
      </c>
      <c r="B9" s="22" t="s">
        <v>9</v>
      </c>
      <c r="C9" s="23">
        <v>1800</v>
      </c>
      <c r="D9" s="23">
        <v>8500</v>
      </c>
      <c r="E9" s="24">
        <f t="shared" si="0"/>
        <v>10300</v>
      </c>
      <c r="F9" s="12"/>
      <c r="G9" s="25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2">
      <c r="A10" s="26" t="s">
        <v>27</v>
      </c>
      <c r="B10" s="18" t="s">
        <v>28</v>
      </c>
      <c r="C10" s="19">
        <f>(C9+C11)/2</f>
        <v>2150</v>
      </c>
      <c r="D10" s="19">
        <v>8800</v>
      </c>
      <c r="E10" s="20">
        <f>D10+C10</f>
        <v>10950</v>
      </c>
      <c r="F10" s="4"/>
      <c r="G10" s="1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27" t="s">
        <v>29</v>
      </c>
      <c r="B11" s="22" t="s">
        <v>11</v>
      </c>
      <c r="C11" s="23">
        <v>2500</v>
      </c>
      <c r="D11" s="23">
        <v>9100</v>
      </c>
      <c r="E11" s="24">
        <f>C11+D11</f>
        <v>11600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1"/>
      <c r="B12" s="2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28"/>
      <c r="B13" s="28"/>
      <c r="C13" s="28"/>
      <c r="D13" s="28"/>
      <c r="E13" s="2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97" t="s">
        <v>30</v>
      </c>
      <c r="B14" s="98"/>
      <c r="C14" s="98"/>
      <c r="D14" s="98"/>
      <c r="E14" s="99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14" t="s">
        <v>1</v>
      </c>
      <c r="B15" s="15" t="s">
        <v>2</v>
      </c>
      <c r="C15" s="16" t="s">
        <v>3</v>
      </c>
      <c r="D15" s="16" t="s">
        <v>4</v>
      </c>
      <c r="E15" s="15" t="s">
        <v>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29" t="s">
        <v>6</v>
      </c>
      <c r="B16" s="30" t="s">
        <v>23</v>
      </c>
      <c r="C16" s="31">
        <f t="shared" ref="C16:C21" si="1">C4-100</f>
        <v>200</v>
      </c>
      <c r="D16" s="31">
        <v>3750</v>
      </c>
      <c r="E16" s="32">
        <f t="shared" ref="E16:E21" si="2">C16+D16</f>
        <v>3950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21" t="s">
        <v>8</v>
      </c>
      <c r="B17" s="22" t="s">
        <v>24</v>
      </c>
      <c r="C17" s="23">
        <f t="shared" si="1"/>
        <v>500</v>
      </c>
      <c r="D17" s="23">
        <v>4150</v>
      </c>
      <c r="E17" s="24">
        <f t="shared" si="2"/>
        <v>4650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29" t="s">
        <v>10</v>
      </c>
      <c r="B18" s="30" t="s">
        <v>25</v>
      </c>
      <c r="C18" s="31">
        <f t="shared" si="1"/>
        <v>800</v>
      </c>
      <c r="D18" s="31">
        <v>4550</v>
      </c>
      <c r="E18" s="32">
        <f t="shared" si="2"/>
        <v>5350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21" t="s">
        <v>12</v>
      </c>
      <c r="B19" s="22" t="s">
        <v>26</v>
      </c>
      <c r="C19" s="23">
        <f t="shared" si="1"/>
        <v>1100</v>
      </c>
      <c r="D19" s="23">
        <v>4950</v>
      </c>
      <c r="E19" s="24">
        <f t="shared" si="2"/>
        <v>6050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29" t="s">
        <v>14</v>
      </c>
      <c r="B20" s="30" t="s">
        <v>7</v>
      </c>
      <c r="C20" s="31">
        <f t="shared" si="1"/>
        <v>1400</v>
      </c>
      <c r="D20" s="31">
        <v>5350</v>
      </c>
      <c r="E20" s="32">
        <f t="shared" si="2"/>
        <v>6750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21" t="s">
        <v>16</v>
      </c>
      <c r="B21" s="22" t="s">
        <v>9</v>
      </c>
      <c r="C21" s="23">
        <f t="shared" si="1"/>
        <v>1700</v>
      </c>
      <c r="D21" s="23">
        <v>5750</v>
      </c>
      <c r="E21" s="24">
        <f t="shared" si="2"/>
        <v>7450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33" t="s">
        <v>31</v>
      </c>
      <c r="B22" s="30" t="s">
        <v>28</v>
      </c>
      <c r="C22" s="31">
        <f>(C21+C23)/2</f>
        <v>2050</v>
      </c>
      <c r="D22" s="31">
        <v>5950</v>
      </c>
      <c r="E22" s="32">
        <f>D22+C22</f>
        <v>8000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27" t="s">
        <v>29</v>
      </c>
      <c r="B23" s="22" t="s">
        <v>11</v>
      </c>
      <c r="C23" s="23">
        <f>C11-100</f>
        <v>2400</v>
      </c>
      <c r="D23" s="23">
        <v>6150</v>
      </c>
      <c r="E23" s="24">
        <f>C23+D23</f>
        <v>8550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28"/>
      <c r="B24" s="28"/>
      <c r="C24" s="28"/>
      <c r="D24" s="28"/>
      <c r="E24" s="2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100" t="s">
        <v>32</v>
      </c>
      <c r="B25" s="101"/>
      <c r="C25" s="101"/>
      <c r="D25" s="101"/>
      <c r="E25" s="10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14" t="s">
        <v>1</v>
      </c>
      <c r="B26" s="15" t="s">
        <v>2</v>
      </c>
      <c r="C26" s="16" t="s">
        <v>20</v>
      </c>
      <c r="D26" s="16" t="s">
        <v>4</v>
      </c>
      <c r="E26" s="15" t="s">
        <v>5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34" t="s">
        <v>6</v>
      </c>
      <c r="B27" s="35" t="s">
        <v>23</v>
      </c>
      <c r="C27" s="36">
        <f t="shared" ref="C27:C32" si="3">C16</f>
        <v>200</v>
      </c>
      <c r="D27" s="36">
        <f>3800+H27</f>
        <v>3800</v>
      </c>
      <c r="E27" s="37">
        <f t="shared" ref="E27:E32" si="4">C27+D27</f>
        <v>4000</v>
      </c>
      <c r="F27" s="4"/>
      <c r="G27" s="4"/>
      <c r="H27" s="13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21" t="s">
        <v>8</v>
      </c>
      <c r="B28" s="22" t="s">
        <v>24</v>
      </c>
      <c r="C28" s="23">
        <f t="shared" si="3"/>
        <v>500</v>
      </c>
      <c r="D28" s="23">
        <v>4500</v>
      </c>
      <c r="E28" s="24">
        <f t="shared" si="4"/>
        <v>5000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34" t="s">
        <v>10</v>
      </c>
      <c r="B29" s="35" t="s">
        <v>25</v>
      </c>
      <c r="C29" s="36">
        <f t="shared" si="3"/>
        <v>800</v>
      </c>
      <c r="D29" s="36">
        <v>4900</v>
      </c>
      <c r="E29" s="37">
        <f t="shared" si="4"/>
        <v>5700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21" t="s">
        <v>12</v>
      </c>
      <c r="B30" s="22" t="s">
        <v>26</v>
      </c>
      <c r="C30" s="23">
        <f t="shared" si="3"/>
        <v>1100</v>
      </c>
      <c r="D30" s="23">
        <v>5300</v>
      </c>
      <c r="E30" s="24">
        <f t="shared" si="4"/>
        <v>6400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34" t="s">
        <v>14</v>
      </c>
      <c r="B31" s="35" t="s">
        <v>7</v>
      </c>
      <c r="C31" s="36">
        <f t="shared" si="3"/>
        <v>1400</v>
      </c>
      <c r="D31" s="36">
        <v>5700</v>
      </c>
      <c r="E31" s="37">
        <f t="shared" si="4"/>
        <v>7100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21" t="s">
        <v>16</v>
      </c>
      <c r="B32" s="22" t="s">
        <v>9</v>
      </c>
      <c r="C32" s="23">
        <f t="shared" si="3"/>
        <v>1700</v>
      </c>
      <c r="D32" s="23">
        <v>6100</v>
      </c>
      <c r="E32" s="24">
        <f t="shared" si="4"/>
        <v>7800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38" t="s">
        <v>33</v>
      </c>
      <c r="B33" s="39" t="s">
        <v>28</v>
      </c>
      <c r="C33" s="36">
        <f>(C32+C34)/2</f>
        <v>2050</v>
      </c>
      <c r="D33" s="40">
        <v>6300</v>
      </c>
      <c r="E33" s="37">
        <f>D33+C33</f>
        <v>8350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41" t="s">
        <v>29</v>
      </c>
      <c r="B34" s="42" t="s">
        <v>11</v>
      </c>
      <c r="C34" s="23">
        <f>C23</f>
        <v>2400</v>
      </c>
      <c r="D34" s="43">
        <v>6500</v>
      </c>
      <c r="E34" s="24">
        <f>C34+D34</f>
        <v>8900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28"/>
      <c r="B35" s="28"/>
      <c r="C35" s="28"/>
      <c r="D35" s="28"/>
      <c r="E35" s="2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103" t="s">
        <v>34</v>
      </c>
      <c r="B36" s="104"/>
      <c r="C36" s="104"/>
      <c r="D36" s="104"/>
      <c r="E36" s="10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4" t="s">
        <v>1</v>
      </c>
      <c r="B37" s="15" t="s">
        <v>2</v>
      </c>
      <c r="C37" s="16" t="s">
        <v>20</v>
      </c>
      <c r="D37" s="16" t="s">
        <v>4</v>
      </c>
      <c r="E37" s="15" t="s">
        <v>5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44" t="s">
        <v>6</v>
      </c>
      <c r="B38" s="45" t="s">
        <v>23</v>
      </c>
      <c r="C38" s="46">
        <f t="shared" ref="C38:C43" si="5">C27</f>
        <v>200</v>
      </c>
      <c r="D38" s="46">
        <v>2400</v>
      </c>
      <c r="E38" s="47">
        <f t="shared" ref="E38:E43" si="6">C38+D38</f>
        <v>2600</v>
      </c>
      <c r="F38" s="4"/>
      <c r="G38" s="4"/>
      <c r="H38" s="4"/>
      <c r="I38" s="4"/>
      <c r="J38" s="1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21" t="s">
        <v>8</v>
      </c>
      <c r="B39" s="22" t="s">
        <v>24</v>
      </c>
      <c r="C39" s="23">
        <f t="shared" si="5"/>
        <v>500</v>
      </c>
      <c r="D39" s="23">
        <v>2600</v>
      </c>
      <c r="E39" s="24">
        <f t="shared" si="6"/>
        <v>3100</v>
      </c>
      <c r="F39" s="4"/>
      <c r="G39" s="4"/>
      <c r="H39" s="4"/>
      <c r="I39" s="4"/>
      <c r="J39" s="1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44" t="s">
        <v>10</v>
      </c>
      <c r="B40" s="45" t="s">
        <v>25</v>
      </c>
      <c r="C40" s="46">
        <f t="shared" si="5"/>
        <v>800</v>
      </c>
      <c r="D40" s="46">
        <v>2800</v>
      </c>
      <c r="E40" s="47">
        <f t="shared" si="6"/>
        <v>3600</v>
      </c>
      <c r="F40" s="4"/>
      <c r="G40" s="4"/>
      <c r="H40" s="4"/>
      <c r="I40" s="4"/>
      <c r="J40" s="1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21" t="s">
        <v>12</v>
      </c>
      <c r="B41" s="22" t="s">
        <v>26</v>
      </c>
      <c r="C41" s="23">
        <f t="shared" si="5"/>
        <v>1100</v>
      </c>
      <c r="D41" s="23">
        <v>3000</v>
      </c>
      <c r="E41" s="24">
        <f t="shared" si="6"/>
        <v>4100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44" t="s">
        <v>14</v>
      </c>
      <c r="B42" s="45" t="s">
        <v>7</v>
      </c>
      <c r="C42" s="46">
        <f t="shared" si="5"/>
        <v>1400</v>
      </c>
      <c r="D42" s="46">
        <v>3200</v>
      </c>
      <c r="E42" s="47">
        <f t="shared" si="6"/>
        <v>4600</v>
      </c>
      <c r="F42" s="4"/>
      <c r="G42" s="4"/>
      <c r="H42" s="4"/>
      <c r="I42" s="1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21" t="s">
        <v>16</v>
      </c>
      <c r="B43" s="22" t="s">
        <v>9</v>
      </c>
      <c r="C43" s="23">
        <f t="shared" si="5"/>
        <v>1700</v>
      </c>
      <c r="D43" s="23">
        <v>3400</v>
      </c>
      <c r="E43" s="24">
        <f t="shared" si="6"/>
        <v>5100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48" t="s">
        <v>33</v>
      </c>
      <c r="B44" s="49" t="s">
        <v>28</v>
      </c>
      <c r="C44" s="46">
        <f>(C42+C45)/2</f>
        <v>1900</v>
      </c>
      <c r="D44" s="50">
        <v>3500</v>
      </c>
      <c r="E44" s="47">
        <f>D44+C44</f>
        <v>5400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41" t="s">
        <v>29</v>
      </c>
      <c r="B45" s="42" t="s">
        <v>11</v>
      </c>
      <c r="C45" s="23">
        <f>C34</f>
        <v>2400</v>
      </c>
      <c r="D45" s="43">
        <v>3600</v>
      </c>
      <c r="E45" s="24">
        <f>C45+D45</f>
        <v>6000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1"/>
      <c r="B46" s="2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1"/>
      <c r="B47" s="2"/>
      <c r="C47" s="3"/>
      <c r="D47" s="3"/>
      <c r="E47" s="4"/>
      <c r="F47" s="4"/>
      <c r="G47" s="4"/>
      <c r="H47" s="13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1"/>
      <c r="B48" s="2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1"/>
      <c r="B49" s="2"/>
      <c r="C49" s="3"/>
      <c r="D49" s="3"/>
      <c r="E49" s="1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1"/>
      <c r="B50" s="2"/>
      <c r="C50" s="3"/>
      <c r="D50" s="3"/>
      <c r="E50" s="1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1"/>
      <c r="B51" s="2"/>
      <c r="C51" s="3"/>
      <c r="D51" s="3"/>
      <c r="E51" s="1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1"/>
      <c r="B52" s="2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1"/>
      <c r="B53" s="2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1"/>
      <c r="B54" s="2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1"/>
      <c r="B55" s="2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1"/>
      <c r="B56" s="2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1"/>
      <c r="B57" s="2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1"/>
      <c r="B58" s="2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1"/>
      <c r="B59" s="2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1"/>
      <c r="B60" s="2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1"/>
      <c r="B61" s="2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1"/>
      <c r="B62" s="2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1"/>
      <c r="B63" s="2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1"/>
      <c r="B64" s="2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1"/>
      <c r="B65" s="2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1"/>
      <c r="B66" s="2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1"/>
      <c r="B67" s="2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1"/>
      <c r="B68" s="2"/>
      <c r="C68" s="3"/>
      <c r="D68" s="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1"/>
      <c r="B69" s="2"/>
      <c r="C69" s="3"/>
      <c r="D69" s="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1"/>
      <c r="B70" s="2"/>
      <c r="C70" s="3"/>
      <c r="D70" s="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1"/>
      <c r="B71" s="2"/>
      <c r="C71" s="3"/>
      <c r="D71" s="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1"/>
      <c r="B72" s="2"/>
      <c r="C72" s="3"/>
      <c r="D72" s="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1"/>
      <c r="B73" s="2"/>
      <c r="C73" s="3"/>
      <c r="D73" s="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1"/>
      <c r="B74" s="2"/>
      <c r="C74" s="3"/>
      <c r="D74" s="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1"/>
      <c r="B75" s="2"/>
      <c r="C75" s="3"/>
      <c r="D75" s="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1"/>
      <c r="B76" s="2"/>
      <c r="C76" s="3"/>
      <c r="D76" s="3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1"/>
      <c r="B77" s="2"/>
      <c r="C77" s="3"/>
      <c r="D77" s="3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1"/>
      <c r="B78" s="2"/>
      <c r="C78" s="3"/>
      <c r="D78" s="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1"/>
      <c r="B79" s="2"/>
      <c r="C79" s="3"/>
      <c r="D79" s="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1"/>
      <c r="B80" s="2"/>
      <c r="C80" s="3"/>
      <c r="D80" s="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1"/>
      <c r="B81" s="2"/>
      <c r="C81" s="3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1"/>
      <c r="B82" s="2"/>
      <c r="C82" s="3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1"/>
      <c r="B83" s="2"/>
      <c r="C83" s="3"/>
      <c r="D83" s="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1"/>
      <c r="B84" s="2"/>
      <c r="C84" s="3"/>
      <c r="D84" s="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1"/>
      <c r="B85" s="2"/>
      <c r="C85" s="3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1"/>
      <c r="B86" s="2"/>
      <c r="C86" s="3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1"/>
      <c r="B87" s="2"/>
      <c r="C87" s="3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1"/>
      <c r="B88" s="2"/>
      <c r="C88" s="3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1"/>
      <c r="B89" s="2"/>
      <c r="C89" s="3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1"/>
      <c r="B90" s="2"/>
      <c r="C90" s="3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1"/>
      <c r="B91" s="2"/>
      <c r="C91" s="3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1"/>
      <c r="B92" s="2"/>
      <c r="C92" s="3"/>
      <c r="D92" s="3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1"/>
      <c r="B93" s="2"/>
      <c r="C93" s="3"/>
      <c r="D93" s="3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1"/>
      <c r="B94" s="2"/>
      <c r="C94" s="3"/>
      <c r="D94" s="3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1"/>
      <c r="B95" s="2"/>
      <c r="C95" s="3"/>
      <c r="D95" s="3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1"/>
      <c r="B96" s="2"/>
      <c r="C96" s="3"/>
      <c r="D96" s="3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1"/>
      <c r="B97" s="2"/>
      <c r="C97" s="3"/>
      <c r="D97" s="3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1"/>
      <c r="B98" s="2"/>
      <c r="C98" s="3"/>
      <c r="D98" s="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1"/>
      <c r="B99" s="2"/>
      <c r="C99" s="3"/>
      <c r="D99" s="3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1"/>
      <c r="B100" s="2"/>
      <c r="C100" s="3"/>
      <c r="D100" s="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1"/>
      <c r="B101" s="2"/>
      <c r="C101" s="3"/>
      <c r="D101" s="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1"/>
      <c r="B102" s="2"/>
      <c r="C102" s="3"/>
      <c r="D102" s="3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1"/>
      <c r="B103" s="2"/>
      <c r="C103" s="3"/>
      <c r="D103" s="3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1"/>
      <c r="B104" s="2"/>
      <c r="C104" s="3"/>
      <c r="D104" s="3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1"/>
      <c r="B105" s="2"/>
      <c r="C105" s="3"/>
      <c r="D105" s="3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1"/>
      <c r="B106" s="2"/>
      <c r="C106" s="3"/>
      <c r="D106" s="3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1"/>
      <c r="B107" s="2"/>
      <c r="C107" s="3"/>
      <c r="D107" s="3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1"/>
      <c r="B108" s="2"/>
      <c r="C108" s="3"/>
      <c r="D108" s="3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1"/>
      <c r="B109" s="2"/>
      <c r="C109" s="3"/>
      <c r="D109" s="3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1"/>
      <c r="B110" s="2"/>
      <c r="C110" s="3"/>
      <c r="D110" s="3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1"/>
      <c r="B111" s="2"/>
      <c r="C111" s="3"/>
      <c r="D111" s="3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1"/>
      <c r="B112" s="2"/>
      <c r="C112" s="3"/>
      <c r="D112" s="3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1"/>
      <c r="B113" s="2"/>
      <c r="C113" s="3"/>
      <c r="D113" s="3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1"/>
      <c r="B114" s="2"/>
      <c r="C114" s="3"/>
      <c r="D114" s="3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1"/>
      <c r="B115" s="2"/>
      <c r="C115" s="3"/>
      <c r="D115" s="3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1"/>
      <c r="B116" s="2"/>
      <c r="C116" s="3"/>
      <c r="D116" s="3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1"/>
      <c r="B117" s="2"/>
      <c r="C117" s="3"/>
      <c r="D117" s="3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1"/>
      <c r="B118" s="2"/>
      <c r="C118" s="3"/>
      <c r="D118" s="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1"/>
      <c r="B119" s="2"/>
      <c r="C119" s="3"/>
      <c r="D119" s="3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1"/>
      <c r="B120" s="2"/>
      <c r="C120" s="3"/>
      <c r="D120" s="3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1"/>
      <c r="B121" s="2"/>
      <c r="C121" s="3"/>
      <c r="D121" s="3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1"/>
      <c r="B122" s="2"/>
      <c r="C122" s="3"/>
      <c r="D122" s="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1"/>
      <c r="B123" s="2"/>
      <c r="C123" s="3"/>
      <c r="D123" s="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1"/>
      <c r="B124" s="2"/>
      <c r="C124" s="3"/>
      <c r="D124" s="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1"/>
      <c r="B125" s="2"/>
      <c r="C125" s="3"/>
      <c r="D125" s="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1"/>
      <c r="B126" s="2"/>
      <c r="C126" s="3"/>
      <c r="D126" s="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1"/>
      <c r="B127" s="2"/>
      <c r="C127" s="3"/>
      <c r="D127" s="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1"/>
      <c r="B128" s="2"/>
      <c r="C128" s="3"/>
      <c r="D128" s="3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1"/>
      <c r="B129" s="2"/>
      <c r="C129" s="3"/>
      <c r="D129" s="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1"/>
      <c r="B130" s="2"/>
      <c r="C130" s="3"/>
      <c r="D130" s="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1"/>
      <c r="B131" s="2"/>
      <c r="C131" s="3"/>
      <c r="D131" s="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1"/>
      <c r="B132" s="2"/>
      <c r="C132" s="3"/>
      <c r="D132" s="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1"/>
      <c r="B133" s="2"/>
      <c r="C133" s="3"/>
      <c r="D133" s="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1"/>
      <c r="B134" s="2"/>
      <c r="C134" s="3"/>
      <c r="D134" s="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1"/>
      <c r="B135" s="2"/>
      <c r="C135" s="3"/>
      <c r="D135" s="3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1"/>
      <c r="B136" s="2"/>
      <c r="C136" s="3"/>
      <c r="D136" s="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1"/>
      <c r="B137" s="2"/>
      <c r="C137" s="3"/>
      <c r="D137" s="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1"/>
      <c r="B138" s="2"/>
      <c r="C138" s="3"/>
      <c r="D138" s="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1"/>
      <c r="B139" s="2"/>
      <c r="C139" s="3"/>
      <c r="D139" s="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1"/>
      <c r="B140" s="2"/>
      <c r="C140" s="3"/>
      <c r="D140" s="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1"/>
      <c r="B141" s="2"/>
      <c r="C141" s="3"/>
      <c r="D141" s="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1"/>
      <c r="B142" s="2"/>
      <c r="C142" s="3"/>
      <c r="D142" s="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1"/>
      <c r="B143" s="2"/>
      <c r="C143" s="3"/>
      <c r="D143" s="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1"/>
      <c r="B144" s="2"/>
      <c r="C144" s="3"/>
      <c r="D144" s="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1"/>
      <c r="B145" s="2"/>
      <c r="C145" s="3"/>
      <c r="D145" s="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1"/>
      <c r="B146" s="2"/>
      <c r="C146" s="3"/>
      <c r="D146" s="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1"/>
      <c r="B147" s="2"/>
      <c r="C147" s="3"/>
      <c r="D147" s="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1"/>
      <c r="B148" s="2"/>
      <c r="C148" s="3"/>
      <c r="D148" s="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1"/>
      <c r="B149" s="2"/>
      <c r="C149" s="3"/>
      <c r="D149" s="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1"/>
      <c r="B150" s="2"/>
      <c r="C150" s="3"/>
      <c r="D150" s="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1"/>
      <c r="B151" s="2"/>
      <c r="C151" s="3"/>
      <c r="D151" s="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1"/>
      <c r="B152" s="2"/>
      <c r="C152" s="3"/>
      <c r="D152" s="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1"/>
      <c r="B153" s="2"/>
      <c r="C153" s="3"/>
      <c r="D153" s="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1"/>
      <c r="B154" s="2"/>
      <c r="C154" s="3"/>
      <c r="D154" s="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1"/>
      <c r="B155" s="2"/>
      <c r="C155" s="3"/>
      <c r="D155" s="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1"/>
      <c r="B156" s="2"/>
      <c r="C156" s="3"/>
      <c r="D156" s="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1"/>
      <c r="B157" s="2"/>
      <c r="C157" s="3"/>
      <c r="D157" s="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1"/>
      <c r="B158" s="2"/>
      <c r="C158" s="3"/>
      <c r="D158" s="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1"/>
      <c r="B159" s="2"/>
      <c r="C159" s="3"/>
      <c r="D159" s="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1"/>
      <c r="B160" s="2"/>
      <c r="C160" s="3"/>
      <c r="D160" s="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1"/>
      <c r="B161" s="2"/>
      <c r="C161" s="3"/>
      <c r="D161" s="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1"/>
      <c r="B162" s="2"/>
      <c r="C162" s="3"/>
      <c r="D162" s="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1"/>
      <c r="B163" s="2"/>
      <c r="C163" s="3"/>
      <c r="D163" s="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1"/>
      <c r="B164" s="2"/>
      <c r="C164" s="3"/>
      <c r="D164" s="3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1"/>
      <c r="B165" s="2"/>
      <c r="C165" s="3"/>
      <c r="D165" s="3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1"/>
      <c r="B166" s="2"/>
      <c r="C166" s="3"/>
      <c r="D166" s="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1"/>
      <c r="B167" s="2"/>
      <c r="C167" s="3"/>
      <c r="D167" s="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1"/>
      <c r="B168" s="2"/>
      <c r="C168" s="3"/>
      <c r="D168" s="3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1"/>
      <c r="B169" s="2"/>
      <c r="C169" s="3"/>
      <c r="D169" s="3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1"/>
      <c r="B170" s="2"/>
      <c r="C170" s="3"/>
      <c r="D170" s="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1"/>
      <c r="B171" s="2"/>
      <c r="C171" s="3"/>
      <c r="D171" s="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1"/>
      <c r="B172" s="2"/>
      <c r="C172" s="3"/>
      <c r="D172" s="3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1"/>
      <c r="B173" s="2"/>
      <c r="C173" s="3"/>
      <c r="D173" s="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1"/>
      <c r="B174" s="2"/>
      <c r="C174" s="3"/>
      <c r="D174" s="3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1"/>
      <c r="B175" s="2"/>
      <c r="C175" s="3"/>
      <c r="D175" s="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1"/>
      <c r="B176" s="2"/>
      <c r="C176" s="3"/>
      <c r="D176" s="3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1"/>
      <c r="B177" s="2"/>
      <c r="C177" s="3"/>
      <c r="D177" s="3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1"/>
      <c r="B178" s="2"/>
      <c r="C178" s="3"/>
      <c r="D178" s="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1"/>
      <c r="B179" s="2"/>
      <c r="C179" s="3"/>
      <c r="D179" s="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1"/>
      <c r="B180" s="2"/>
      <c r="C180" s="3"/>
      <c r="D180" s="3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1"/>
      <c r="B181" s="2"/>
      <c r="C181" s="3"/>
      <c r="D181" s="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1"/>
      <c r="B182" s="2"/>
      <c r="C182" s="3"/>
      <c r="D182" s="3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1"/>
      <c r="B183" s="2"/>
      <c r="C183" s="3"/>
      <c r="D183" s="3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1"/>
      <c r="B184" s="2"/>
      <c r="C184" s="3"/>
      <c r="D184" s="3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1"/>
      <c r="B185" s="2"/>
      <c r="C185" s="3"/>
      <c r="D185" s="3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1"/>
      <c r="B186" s="2"/>
      <c r="C186" s="3"/>
      <c r="D186" s="3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1"/>
      <c r="B187" s="2"/>
      <c r="C187" s="3"/>
      <c r="D187" s="3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1"/>
      <c r="B188" s="2"/>
      <c r="C188" s="3"/>
      <c r="D188" s="3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1"/>
      <c r="B189" s="2"/>
      <c r="C189" s="3"/>
      <c r="D189" s="3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1"/>
      <c r="B190" s="2"/>
      <c r="C190" s="3"/>
      <c r="D190" s="3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1"/>
      <c r="B191" s="2"/>
      <c r="C191" s="3"/>
      <c r="D191" s="3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1"/>
      <c r="B192" s="2"/>
      <c r="C192" s="3"/>
      <c r="D192" s="3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1"/>
      <c r="B193" s="2"/>
      <c r="C193" s="3"/>
      <c r="D193" s="3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1"/>
      <c r="B194" s="2"/>
      <c r="C194" s="3"/>
      <c r="D194" s="3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1"/>
      <c r="B195" s="2"/>
      <c r="C195" s="3"/>
      <c r="D195" s="3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1"/>
      <c r="B196" s="2"/>
      <c r="C196" s="3"/>
      <c r="D196" s="3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1"/>
      <c r="B197" s="2"/>
      <c r="C197" s="3"/>
      <c r="D197" s="3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1"/>
      <c r="B198" s="2"/>
      <c r="C198" s="3"/>
      <c r="D198" s="3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1"/>
      <c r="B199" s="2"/>
      <c r="C199" s="3"/>
      <c r="D199" s="3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1"/>
      <c r="B200" s="2"/>
      <c r="C200" s="3"/>
      <c r="D200" s="3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1"/>
      <c r="B201" s="2"/>
      <c r="C201" s="3"/>
      <c r="D201" s="3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1"/>
      <c r="B202" s="2"/>
      <c r="C202" s="3"/>
      <c r="D202" s="3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1"/>
      <c r="B203" s="2"/>
      <c r="C203" s="3"/>
      <c r="D203" s="3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1"/>
      <c r="B204" s="2"/>
      <c r="C204" s="3"/>
      <c r="D204" s="3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1"/>
      <c r="B205" s="2"/>
      <c r="C205" s="3"/>
      <c r="D205" s="3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1"/>
      <c r="B206" s="2"/>
      <c r="C206" s="3"/>
      <c r="D206" s="3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1"/>
      <c r="B207" s="2"/>
      <c r="C207" s="3"/>
      <c r="D207" s="3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1"/>
      <c r="B208" s="2"/>
      <c r="C208" s="3"/>
      <c r="D208" s="3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1"/>
      <c r="B209" s="2"/>
      <c r="C209" s="3"/>
      <c r="D209" s="3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1"/>
      <c r="B210" s="2"/>
      <c r="C210" s="3"/>
      <c r="D210" s="3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1"/>
      <c r="B211" s="2"/>
      <c r="C211" s="3"/>
      <c r="D211" s="3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1"/>
      <c r="B212" s="2"/>
      <c r="C212" s="3"/>
      <c r="D212" s="3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1"/>
      <c r="B213" s="2"/>
      <c r="C213" s="3"/>
      <c r="D213" s="3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1"/>
      <c r="B214" s="2"/>
      <c r="C214" s="3"/>
      <c r="D214" s="3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1"/>
      <c r="B215" s="2"/>
      <c r="C215" s="3"/>
      <c r="D215" s="3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1"/>
      <c r="B216" s="2"/>
      <c r="C216" s="3"/>
      <c r="D216" s="3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1"/>
      <c r="B217" s="2"/>
      <c r="C217" s="3"/>
      <c r="D217" s="3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1"/>
      <c r="B218" s="2"/>
      <c r="C218" s="3"/>
      <c r="D218" s="3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1"/>
      <c r="B219" s="2"/>
      <c r="C219" s="3"/>
      <c r="D219" s="3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1"/>
      <c r="B220" s="2"/>
      <c r="C220" s="3"/>
      <c r="D220" s="3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1"/>
      <c r="B221" s="2"/>
      <c r="C221" s="3"/>
      <c r="D221" s="3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1"/>
      <c r="B222" s="2"/>
      <c r="C222" s="3"/>
      <c r="D222" s="3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1"/>
      <c r="B223" s="2"/>
      <c r="C223" s="3"/>
      <c r="D223" s="3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1"/>
      <c r="B224" s="2"/>
      <c r="C224" s="3"/>
      <c r="D224" s="3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1"/>
      <c r="B225" s="2"/>
      <c r="C225" s="3"/>
      <c r="D225" s="3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1"/>
      <c r="B226" s="2"/>
      <c r="C226" s="3"/>
      <c r="D226" s="3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1"/>
      <c r="B227" s="2"/>
      <c r="C227" s="3"/>
      <c r="D227" s="3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1"/>
      <c r="B228" s="2"/>
      <c r="C228" s="3"/>
      <c r="D228" s="3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1"/>
      <c r="B229" s="2"/>
      <c r="C229" s="3"/>
      <c r="D229" s="3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1"/>
      <c r="B230" s="2"/>
      <c r="C230" s="3"/>
      <c r="D230" s="3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1"/>
      <c r="B231" s="2"/>
      <c r="C231" s="3"/>
      <c r="D231" s="3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1"/>
      <c r="B232" s="2"/>
      <c r="C232" s="3"/>
      <c r="D232" s="3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1"/>
      <c r="B233" s="2"/>
      <c r="C233" s="3"/>
      <c r="D233" s="3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1"/>
      <c r="B234" s="2"/>
      <c r="C234" s="3"/>
      <c r="D234" s="3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1"/>
      <c r="B235" s="2"/>
      <c r="C235" s="3"/>
      <c r="D235" s="3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1"/>
      <c r="B236" s="2"/>
      <c r="C236" s="3"/>
      <c r="D236" s="3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1"/>
      <c r="B237" s="2"/>
      <c r="C237" s="3"/>
      <c r="D237" s="3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1"/>
      <c r="B238" s="2"/>
      <c r="C238" s="3"/>
      <c r="D238" s="3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1"/>
      <c r="B239" s="2"/>
      <c r="C239" s="3"/>
      <c r="D239" s="3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1"/>
      <c r="B240" s="2"/>
      <c r="C240" s="3"/>
      <c r="D240" s="3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1"/>
      <c r="B241" s="2"/>
      <c r="C241" s="3"/>
      <c r="D241" s="3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1"/>
      <c r="B242" s="2"/>
      <c r="C242" s="3"/>
      <c r="D242" s="3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1"/>
      <c r="B243" s="2"/>
      <c r="C243" s="3"/>
      <c r="D243" s="3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1"/>
      <c r="B244" s="2"/>
      <c r="C244" s="3"/>
      <c r="D244" s="3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1"/>
      <c r="B245" s="2"/>
      <c r="C245" s="3"/>
      <c r="D245" s="3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1"/>
      <c r="B246" s="2"/>
      <c r="C246" s="3"/>
      <c r="D246" s="3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1"/>
      <c r="B247" s="2"/>
      <c r="C247" s="3"/>
      <c r="D247" s="3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1"/>
      <c r="B248" s="2"/>
      <c r="C248" s="3"/>
      <c r="D248" s="3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1"/>
      <c r="B249" s="2"/>
      <c r="C249" s="3"/>
      <c r="D249" s="3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1"/>
      <c r="B250" s="2"/>
      <c r="C250" s="3"/>
      <c r="D250" s="3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1"/>
      <c r="B251" s="2"/>
      <c r="C251" s="3"/>
      <c r="D251" s="3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1"/>
      <c r="B252" s="2"/>
      <c r="C252" s="3"/>
      <c r="D252" s="3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1"/>
      <c r="B253" s="2"/>
      <c r="C253" s="3"/>
      <c r="D253" s="3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1"/>
      <c r="B254" s="2"/>
      <c r="C254" s="3"/>
      <c r="D254" s="3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1"/>
      <c r="B255" s="2"/>
      <c r="C255" s="3"/>
      <c r="D255" s="3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1"/>
      <c r="B256" s="2"/>
      <c r="C256" s="3"/>
      <c r="D256" s="3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1"/>
      <c r="B257" s="2"/>
      <c r="C257" s="3"/>
      <c r="D257" s="3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1"/>
      <c r="B258" s="2"/>
      <c r="C258" s="3"/>
      <c r="D258" s="3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1"/>
      <c r="B259" s="2"/>
      <c r="C259" s="3"/>
      <c r="D259" s="3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1"/>
      <c r="B260" s="2"/>
      <c r="C260" s="3"/>
      <c r="D260" s="3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1"/>
      <c r="B261" s="2"/>
      <c r="C261" s="3"/>
      <c r="D261" s="3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1"/>
      <c r="B262" s="2"/>
      <c r="C262" s="3"/>
      <c r="D262" s="3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1"/>
      <c r="B263" s="2"/>
      <c r="C263" s="3"/>
      <c r="D263" s="3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1"/>
      <c r="B264" s="2"/>
      <c r="C264" s="3"/>
      <c r="D264" s="3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1"/>
      <c r="B265" s="2"/>
      <c r="C265" s="3"/>
      <c r="D265" s="3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1"/>
      <c r="B266" s="2"/>
      <c r="C266" s="3"/>
      <c r="D266" s="3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1"/>
      <c r="B267" s="2"/>
      <c r="C267" s="3"/>
      <c r="D267" s="3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1"/>
      <c r="B268" s="2"/>
      <c r="C268" s="3"/>
      <c r="D268" s="3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1"/>
      <c r="B269" s="2"/>
      <c r="C269" s="3"/>
      <c r="D269" s="3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1"/>
      <c r="B270" s="2"/>
      <c r="C270" s="3"/>
      <c r="D270" s="3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1"/>
      <c r="B271" s="2"/>
      <c r="C271" s="3"/>
      <c r="D271" s="3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1"/>
      <c r="B272" s="2"/>
      <c r="C272" s="3"/>
      <c r="D272" s="3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1"/>
      <c r="B273" s="2"/>
      <c r="C273" s="3"/>
      <c r="D273" s="3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1"/>
      <c r="B274" s="2"/>
      <c r="C274" s="3"/>
      <c r="D274" s="3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1"/>
      <c r="B275" s="2"/>
      <c r="C275" s="3"/>
      <c r="D275" s="3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1"/>
      <c r="B276" s="2"/>
      <c r="C276" s="3"/>
      <c r="D276" s="3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1"/>
      <c r="B277" s="2"/>
      <c r="C277" s="3"/>
      <c r="D277" s="3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1"/>
      <c r="B278" s="2"/>
      <c r="C278" s="3"/>
      <c r="D278" s="3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1"/>
      <c r="B279" s="2"/>
      <c r="C279" s="3"/>
      <c r="D279" s="3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1"/>
      <c r="B280" s="2"/>
      <c r="C280" s="3"/>
      <c r="D280" s="3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1"/>
      <c r="B281" s="2"/>
      <c r="C281" s="3"/>
      <c r="D281" s="3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1"/>
      <c r="B282" s="2"/>
      <c r="C282" s="3"/>
      <c r="D282" s="3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1"/>
      <c r="B283" s="2"/>
      <c r="C283" s="3"/>
      <c r="D283" s="3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1"/>
      <c r="B284" s="2"/>
      <c r="C284" s="3"/>
      <c r="D284" s="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1"/>
      <c r="B285" s="2"/>
      <c r="C285" s="3"/>
      <c r="D285" s="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1"/>
      <c r="B286" s="2"/>
      <c r="C286" s="3"/>
      <c r="D286" s="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1"/>
      <c r="B287" s="2"/>
      <c r="C287" s="3"/>
      <c r="D287" s="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1"/>
      <c r="B288" s="2"/>
      <c r="C288" s="3"/>
      <c r="D288" s="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1"/>
      <c r="B289" s="2"/>
      <c r="C289" s="3"/>
      <c r="D289" s="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1"/>
      <c r="B290" s="2"/>
      <c r="C290" s="3"/>
      <c r="D290" s="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1"/>
      <c r="B291" s="2"/>
      <c r="C291" s="3"/>
      <c r="D291" s="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1"/>
      <c r="B292" s="2"/>
      <c r="C292" s="3"/>
      <c r="D292" s="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1"/>
      <c r="B293" s="2"/>
      <c r="C293" s="3"/>
      <c r="D293" s="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1"/>
      <c r="B294" s="2"/>
      <c r="C294" s="3"/>
      <c r="D294" s="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1"/>
      <c r="B295" s="2"/>
      <c r="C295" s="3"/>
      <c r="D295" s="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1"/>
      <c r="B296" s="2"/>
      <c r="C296" s="3"/>
      <c r="D296" s="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1"/>
      <c r="B297" s="2"/>
      <c r="C297" s="3"/>
      <c r="D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1"/>
      <c r="B298" s="2"/>
      <c r="C298" s="3"/>
      <c r="D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1"/>
      <c r="B299" s="2"/>
      <c r="C299" s="3"/>
      <c r="D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1"/>
      <c r="B300" s="2"/>
      <c r="C300" s="3"/>
      <c r="D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1"/>
      <c r="B301" s="2"/>
      <c r="C301" s="3"/>
      <c r="D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1"/>
      <c r="B302" s="2"/>
      <c r="C302" s="3"/>
      <c r="D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1"/>
      <c r="B303" s="2"/>
      <c r="C303" s="3"/>
      <c r="D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1"/>
      <c r="B304" s="2"/>
      <c r="C304" s="3"/>
      <c r="D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1"/>
      <c r="B305" s="2"/>
      <c r="C305" s="3"/>
      <c r="D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1"/>
      <c r="B306" s="2"/>
      <c r="C306" s="3"/>
      <c r="D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1"/>
      <c r="B307" s="2"/>
      <c r="C307" s="3"/>
      <c r="D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1"/>
      <c r="B308" s="2"/>
      <c r="C308" s="3"/>
      <c r="D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1"/>
      <c r="B309" s="2"/>
      <c r="C309" s="3"/>
      <c r="D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1"/>
      <c r="B310" s="2"/>
      <c r="C310" s="3"/>
      <c r="D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1"/>
      <c r="B311" s="2"/>
      <c r="C311" s="3"/>
      <c r="D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1"/>
      <c r="B312" s="2"/>
      <c r="C312" s="3"/>
      <c r="D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1"/>
      <c r="B313" s="2"/>
      <c r="C313" s="3"/>
      <c r="D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1"/>
      <c r="B314" s="2"/>
      <c r="C314" s="3"/>
      <c r="D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1"/>
      <c r="B315" s="2"/>
      <c r="C315" s="3"/>
      <c r="D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1"/>
      <c r="B316" s="2"/>
      <c r="C316" s="3"/>
      <c r="D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1"/>
      <c r="B317" s="2"/>
      <c r="C317" s="3"/>
      <c r="D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1"/>
      <c r="B318" s="2"/>
      <c r="C318" s="3"/>
      <c r="D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1"/>
      <c r="B319" s="2"/>
      <c r="C319" s="3"/>
      <c r="D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1"/>
      <c r="B320" s="2"/>
      <c r="C320" s="3"/>
      <c r="D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1"/>
      <c r="B321" s="2"/>
      <c r="C321" s="3"/>
      <c r="D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1"/>
      <c r="B322" s="2"/>
      <c r="C322" s="3"/>
      <c r="D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1"/>
      <c r="B323" s="2"/>
      <c r="C323" s="3"/>
      <c r="D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1"/>
      <c r="B324" s="2"/>
      <c r="C324" s="3"/>
      <c r="D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1"/>
      <c r="B325" s="2"/>
      <c r="C325" s="3"/>
      <c r="D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1"/>
      <c r="B326" s="2"/>
      <c r="C326" s="3"/>
      <c r="D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1"/>
      <c r="B327" s="2"/>
      <c r="C327" s="3"/>
      <c r="D327" s="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1"/>
      <c r="B328" s="2"/>
      <c r="C328" s="3"/>
      <c r="D328" s="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1"/>
      <c r="B329" s="2"/>
      <c r="C329" s="3"/>
      <c r="D329" s="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1"/>
      <c r="B330" s="2"/>
      <c r="C330" s="3"/>
      <c r="D330" s="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1"/>
      <c r="B331" s="2"/>
      <c r="C331" s="3"/>
      <c r="D331" s="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1"/>
      <c r="B332" s="2"/>
      <c r="C332" s="3"/>
      <c r="D332" s="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1"/>
      <c r="B333" s="2"/>
      <c r="C333" s="3"/>
      <c r="D333" s="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1"/>
      <c r="B334" s="2"/>
      <c r="C334" s="3"/>
      <c r="D334" s="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1"/>
      <c r="B335" s="2"/>
      <c r="C335" s="3"/>
      <c r="D335" s="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1"/>
      <c r="B336" s="2"/>
      <c r="C336" s="3"/>
      <c r="D336" s="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1"/>
      <c r="B337" s="2"/>
      <c r="C337" s="3"/>
      <c r="D337" s="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1"/>
      <c r="B338" s="2"/>
      <c r="C338" s="3"/>
      <c r="D338" s="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1"/>
      <c r="B339" s="2"/>
      <c r="C339" s="3"/>
      <c r="D339" s="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1"/>
      <c r="B340" s="2"/>
      <c r="C340" s="3"/>
      <c r="D340" s="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1"/>
      <c r="B341" s="2"/>
      <c r="C341" s="3"/>
      <c r="D341" s="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1"/>
      <c r="B342" s="2"/>
      <c r="C342" s="3"/>
      <c r="D342" s="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1"/>
      <c r="B343" s="2"/>
      <c r="C343" s="3"/>
      <c r="D343" s="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1"/>
      <c r="B344" s="2"/>
      <c r="C344" s="3"/>
      <c r="D344" s="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1"/>
      <c r="B345" s="2"/>
      <c r="C345" s="3"/>
      <c r="D345" s="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1"/>
      <c r="B346" s="2"/>
      <c r="C346" s="3"/>
      <c r="D346" s="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1"/>
      <c r="B347" s="2"/>
      <c r="C347" s="3"/>
      <c r="D347" s="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1"/>
      <c r="B348" s="2"/>
      <c r="C348" s="3"/>
      <c r="D348" s="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1"/>
      <c r="B349" s="2"/>
      <c r="C349" s="3"/>
      <c r="D349" s="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1"/>
      <c r="B350" s="2"/>
      <c r="C350" s="3"/>
      <c r="D350" s="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1"/>
      <c r="B351" s="2"/>
      <c r="C351" s="3"/>
      <c r="D351" s="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1"/>
      <c r="B352" s="2"/>
      <c r="C352" s="3"/>
      <c r="D352" s="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1"/>
      <c r="B353" s="2"/>
      <c r="C353" s="3"/>
      <c r="D353" s="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1"/>
      <c r="B354" s="2"/>
      <c r="C354" s="3"/>
      <c r="D354" s="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1"/>
      <c r="B355" s="2"/>
      <c r="C355" s="3"/>
      <c r="D355" s="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1"/>
      <c r="B356" s="2"/>
      <c r="C356" s="3"/>
      <c r="D356" s="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1"/>
      <c r="B357" s="2"/>
      <c r="C357" s="3"/>
      <c r="D357" s="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1"/>
      <c r="B358" s="2"/>
      <c r="C358" s="3"/>
      <c r="D358" s="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1"/>
      <c r="B359" s="2"/>
      <c r="C359" s="3"/>
      <c r="D359" s="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1"/>
      <c r="B360" s="2"/>
      <c r="C360" s="3"/>
      <c r="D360" s="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1"/>
      <c r="B361" s="2"/>
      <c r="C361" s="3"/>
      <c r="D361" s="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1"/>
      <c r="B362" s="2"/>
      <c r="C362" s="3"/>
      <c r="D362" s="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1"/>
      <c r="B363" s="2"/>
      <c r="C363" s="3"/>
      <c r="D363" s="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1"/>
      <c r="B364" s="2"/>
      <c r="C364" s="3"/>
      <c r="D364" s="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1"/>
      <c r="B365" s="2"/>
      <c r="C365" s="3"/>
      <c r="D365" s="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1"/>
      <c r="B366" s="2"/>
      <c r="C366" s="3"/>
      <c r="D366" s="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1"/>
      <c r="B367" s="2"/>
      <c r="C367" s="3"/>
      <c r="D367" s="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1"/>
      <c r="B368" s="2"/>
      <c r="C368" s="3"/>
      <c r="D368" s="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1"/>
      <c r="B369" s="2"/>
      <c r="C369" s="3"/>
      <c r="D369" s="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1"/>
      <c r="B370" s="2"/>
      <c r="C370" s="3"/>
      <c r="D370" s="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1"/>
      <c r="B371" s="2"/>
      <c r="C371" s="3"/>
      <c r="D371" s="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1"/>
      <c r="B372" s="2"/>
      <c r="C372" s="3"/>
      <c r="D372" s="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1"/>
      <c r="B373" s="2"/>
      <c r="C373" s="3"/>
      <c r="D373" s="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1"/>
      <c r="B374" s="2"/>
      <c r="C374" s="3"/>
      <c r="D374" s="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1"/>
      <c r="B375" s="2"/>
      <c r="C375" s="3"/>
      <c r="D375" s="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1"/>
      <c r="B376" s="2"/>
      <c r="C376" s="3"/>
      <c r="D376" s="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1"/>
      <c r="B377" s="2"/>
      <c r="C377" s="3"/>
      <c r="D377" s="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1"/>
      <c r="B378" s="2"/>
      <c r="C378" s="3"/>
      <c r="D378" s="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1"/>
      <c r="B379" s="2"/>
      <c r="C379" s="3"/>
      <c r="D379" s="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1"/>
      <c r="B380" s="2"/>
      <c r="C380" s="3"/>
      <c r="D380" s="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1"/>
      <c r="B381" s="2"/>
      <c r="C381" s="3"/>
      <c r="D381" s="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1"/>
      <c r="B382" s="2"/>
      <c r="C382" s="3"/>
      <c r="D382" s="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1"/>
      <c r="B383" s="2"/>
      <c r="C383" s="3"/>
      <c r="D383" s="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1"/>
      <c r="B384" s="2"/>
      <c r="C384" s="3"/>
      <c r="D384" s="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1"/>
      <c r="B385" s="2"/>
      <c r="C385" s="3"/>
      <c r="D385" s="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1"/>
      <c r="B386" s="2"/>
      <c r="C386" s="3"/>
      <c r="D386" s="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1"/>
      <c r="B387" s="2"/>
      <c r="C387" s="3"/>
      <c r="D387" s="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1"/>
      <c r="B388" s="2"/>
      <c r="C388" s="3"/>
      <c r="D388" s="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1"/>
      <c r="B389" s="2"/>
      <c r="C389" s="3"/>
      <c r="D389" s="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1"/>
      <c r="B390" s="2"/>
      <c r="C390" s="3"/>
      <c r="D390" s="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1"/>
      <c r="B391" s="2"/>
      <c r="C391" s="3"/>
      <c r="D391" s="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1"/>
      <c r="B392" s="2"/>
      <c r="C392" s="3"/>
      <c r="D392" s="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1"/>
      <c r="B393" s="2"/>
      <c r="C393" s="3"/>
      <c r="D393" s="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1"/>
      <c r="B394" s="2"/>
      <c r="C394" s="3"/>
      <c r="D394" s="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1"/>
      <c r="B395" s="2"/>
      <c r="C395" s="3"/>
      <c r="D395" s="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1"/>
      <c r="B396" s="2"/>
      <c r="C396" s="3"/>
      <c r="D396" s="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1"/>
      <c r="B397" s="2"/>
      <c r="C397" s="3"/>
      <c r="D397" s="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1"/>
      <c r="B398" s="2"/>
      <c r="C398" s="3"/>
      <c r="D398" s="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1"/>
      <c r="B399" s="2"/>
      <c r="C399" s="3"/>
      <c r="D399" s="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1"/>
      <c r="B400" s="2"/>
      <c r="C400" s="3"/>
      <c r="D400" s="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1"/>
      <c r="B401" s="2"/>
      <c r="C401" s="3"/>
      <c r="D401" s="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1"/>
      <c r="B402" s="2"/>
      <c r="C402" s="3"/>
      <c r="D402" s="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1"/>
      <c r="B403" s="2"/>
      <c r="C403" s="3"/>
      <c r="D403" s="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1"/>
      <c r="B404" s="2"/>
      <c r="C404" s="3"/>
      <c r="D404" s="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1"/>
      <c r="B405" s="2"/>
      <c r="C405" s="3"/>
      <c r="D405" s="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1"/>
      <c r="B406" s="2"/>
      <c r="C406" s="3"/>
      <c r="D406" s="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1"/>
      <c r="B407" s="2"/>
      <c r="C407" s="3"/>
      <c r="D407" s="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1"/>
      <c r="B408" s="2"/>
      <c r="C408" s="3"/>
      <c r="D408" s="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1"/>
      <c r="B409" s="2"/>
      <c r="C409" s="3"/>
      <c r="D409" s="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1"/>
      <c r="B410" s="2"/>
      <c r="C410" s="3"/>
      <c r="D410" s="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1"/>
      <c r="B411" s="2"/>
      <c r="C411" s="3"/>
      <c r="D411" s="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1"/>
      <c r="B412" s="2"/>
      <c r="C412" s="3"/>
      <c r="D412" s="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1"/>
      <c r="B413" s="2"/>
      <c r="C413" s="3"/>
      <c r="D413" s="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1"/>
      <c r="B414" s="2"/>
      <c r="C414" s="3"/>
      <c r="D414" s="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1"/>
      <c r="B415" s="2"/>
      <c r="C415" s="3"/>
      <c r="D415" s="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1"/>
      <c r="B416" s="2"/>
      <c r="C416" s="3"/>
      <c r="D416" s="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1"/>
      <c r="B417" s="2"/>
      <c r="C417" s="3"/>
      <c r="D417" s="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1"/>
      <c r="B418" s="2"/>
      <c r="C418" s="3"/>
      <c r="D418" s="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1"/>
      <c r="B419" s="2"/>
      <c r="C419" s="3"/>
      <c r="D419" s="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1"/>
      <c r="B420" s="2"/>
      <c r="C420" s="3"/>
      <c r="D420" s="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1"/>
      <c r="B421" s="2"/>
      <c r="C421" s="3"/>
      <c r="D421" s="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1"/>
      <c r="B422" s="2"/>
      <c r="C422" s="3"/>
      <c r="D422" s="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1"/>
      <c r="B423" s="2"/>
      <c r="C423" s="3"/>
      <c r="D423" s="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1"/>
      <c r="B424" s="2"/>
      <c r="C424" s="3"/>
      <c r="D424" s="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1"/>
      <c r="B425" s="2"/>
      <c r="C425" s="3"/>
      <c r="D425" s="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1"/>
      <c r="B426" s="2"/>
      <c r="C426" s="3"/>
      <c r="D426" s="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1"/>
      <c r="B427" s="2"/>
      <c r="C427" s="3"/>
      <c r="D427" s="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1"/>
      <c r="B428" s="2"/>
      <c r="C428" s="3"/>
      <c r="D428" s="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1"/>
      <c r="B429" s="2"/>
      <c r="C429" s="3"/>
      <c r="D429" s="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1"/>
      <c r="B430" s="2"/>
      <c r="C430" s="3"/>
      <c r="D430" s="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1"/>
      <c r="B431" s="2"/>
      <c r="C431" s="3"/>
      <c r="D431" s="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1"/>
      <c r="B432" s="2"/>
      <c r="C432" s="3"/>
      <c r="D432" s="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1"/>
      <c r="B433" s="2"/>
      <c r="C433" s="3"/>
      <c r="D433" s="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1"/>
      <c r="B434" s="2"/>
      <c r="C434" s="3"/>
      <c r="D434" s="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1"/>
      <c r="B435" s="2"/>
      <c r="C435" s="3"/>
      <c r="D435" s="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1"/>
      <c r="B436" s="2"/>
      <c r="C436" s="3"/>
      <c r="D436" s="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1"/>
      <c r="B437" s="2"/>
      <c r="C437" s="3"/>
      <c r="D437" s="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1"/>
      <c r="B438" s="2"/>
      <c r="C438" s="3"/>
      <c r="D438" s="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1"/>
      <c r="B439" s="2"/>
      <c r="C439" s="3"/>
      <c r="D439" s="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1"/>
      <c r="B440" s="2"/>
      <c r="C440" s="3"/>
      <c r="D440" s="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1"/>
      <c r="B441" s="2"/>
      <c r="C441" s="3"/>
      <c r="D441" s="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1"/>
      <c r="B442" s="2"/>
      <c r="C442" s="3"/>
      <c r="D442" s="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1"/>
      <c r="B443" s="2"/>
      <c r="C443" s="3"/>
      <c r="D443" s="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1"/>
      <c r="B444" s="2"/>
      <c r="C444" s="3"/>
      <c r="D444" s="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1"/>
      <c r="B445" s="2"/>
      <c r="C445" s="3"/>
      <c r="D445" s="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1"/>
      <c r="B446" s="2"/>
      <c r="C446" s="3"/>
      <c r="D446" s="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1"/>
      <c r="B447" s="2"/>
      <c r="C447" s="3"/>
      <c r="D447" s="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1"/>
      <c r="B448" s="2"/>
      <c r="C448" s="3"/>
      <c r="D448" s="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1"/>
      <c r="B449" s="2"/>
      <c r="C449" s="3"/>
      <c r="D449" s="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1"/>
      <c r="B450" s="2"/>
      <c r="C450" s="3"/>
      <c r="D450" s="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1"/>
      <c r="B451" s="2"/>
      <c r="C451" s="3"/>
      <c r="D451" s="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1"/>
      <c r="B452" s="2"/>
      <c r="C452" s="3"/>
      <c r="D452" s="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1"/>
      <c r="B453" s="2"/>
      <c r="C453" s="3"/>
      <c r="D453" s="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1"/>
      <c r="B454" s="2"/>
      <c r="C454" s="3"/>
      <c r="D454" s="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1"/>
      <c r="B455" s="2"/>
      <c r="C455" s="3"/>
      <c r="D455" s="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1"/>
      <c r="B456" s="2"/>
      <c r="C456" s="3"/>
      <c r="D456" s="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1"/>
      <c r="B457" s="2"/>
      <c r="C457" s="3"/>
      <c r="D457" s="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1"/>
      <c r="B458" s="2"/>
      <c r="C458" s="3"/>
      <c r="D458" s="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1"/>
      <c r="B459" s="2"/>
      <c r="C459" s="3"/>
      <c r="D459" s="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1"/>
      <c r="B460" s="2"/>
      <c r="C460" s="3"/>
      <c r="D460" s="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1"/>
      <c r="B461" s="2"/>
      <c r="C461" s="3"/>
      <c r="D461" s="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1"/>
      <c r="B462" s="2"/>
      <c r="C462" s="3"/>
      <c r="D462" s="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1"/>
      <c r="B463" s="2"/>
      <c r="C463" s="3"/>
      <c r="D463" s="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1"/>
      <c r="B464" s="2"/>
      <c r="C464" s="3"/>
      <c r="D464" s="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1"/>
      <c r="B465" s="2"/>
      <c r="C465" s="3"/>
      <c r="D465" s="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1"/>
      <c r="B466" s="2"/>
      <c r="C466" s="3"/>
      <c r="D466" s="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1"/>
      <c r="B467" s="2"/>
      <c r="C467" s="3"/>
      <c r="D467" s="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1"/>
      <c r="B468" s="2"/>
      <c r="C468" s="3"/>
      <c r="D468" s="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1"/>
      <c r="B469" s="2"/>
      <c r="C469" s="3"/>
      <c r="D469" s="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1"/>
      <c r="B470" s="2"/>
      <c r="C470" s="3"/>
      <c r="D470" s="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1"/>
      <c r="B471" s="2"/>
      <c r="C471" s="3"/>
      <c r="D471" s="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1"/>
      <c r="B472" s="2"/>
      <c r="C472" s="3"/>
      <c r="D472" s="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1"/>
      <c r="B473" s="2"/>
      <c r="C473" s="3"/>
      <c r="D473" s="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1"/>
      <c r="B474" s="2"/>
      <c r="C474" s="3"/>
      <c r="D474" s="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1"/>
      <c r="B475" s="2"/>
      <c r="C475" s="3"/>
      <c r="D475" s="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1"/>
      <c r="B476" s="2"/>
      <c r="C476" s="3"/>
      <c r="D476" s="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1"/>
      <c r="B477" s="2"/>
      <c r="C477" s="3"/>
      <c r="D477" s="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1"/>
      <c r="B478" s="2"/>
      <c r="C478" s="3"/>
      <c r="D478" s="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1"/>
      <c r="B479" s="2"/>
      <c r="C479" s="3"/>
      <c r="D479" s="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1"/>
      <c r="B480" s="2"/>
      <c r="C480" s="3"/>
      <c r="D480" s="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1"/>
      <c r="B481" s="2"/>
      <c r="C481" s="3"/>
      <c r="D481" s="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1"/>
      <c r="B482" s="2"/>
      <c r="C482" s="3"/>
      <c r="D482" s="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1"/>
      <c r="B483" s="2"/>
      <c r="C483" s="3"/>
      <c r="D483" s="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1"/>
      <c r="B484" s="2"/>
      <c r="C484" s="3"/>
      <c r="D484" s="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1"/>
      <c r="B485" s="2"/>
      <c r="C485" s="3"/>
      <c r="D485" s="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1"/>
      <c r="B486" s="2"/>
      <c r="C486" s="3"/>
      <c r="D486" s="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1"/>
      <c r="B487" s="2"/>
      <c r="C487" s="3"/>
      <c r="D487" s="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1"/>
      <c r="B488" s="2"/>
      <c r="C488" s="3"/>
      <c r="D488" s="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1"/>
      <c r="B489" s="2"/>
      <c r="C489" s="3"/>
      <c r="D489" s="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1"/>
      <c r="B490" s="2"/>
      <c r="C490" s="3"/>
      <c r="D490" s="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1"/>
      <c r="B491" s="2"/>
      <c r="C491" s="3"/>
      <c r="D491" s="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1"/>
      <c r="B492" s="2"/>
      <c r="C492" s="3"/>
      <c r="D492" s="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1"/>
      <c r="B493" s="2"/>
      <c r="C493" s="3"/>
      <c r="D493" s="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1"/>
      <c r="B494" s="2"/>
      <c r="C494" s="3"/>
      <c r="D494" s="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1"/>
      <c r="B495" s="2"/>
      <c r="C495" s="3"/>
      <c r="D495" s="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1"/>
      <c r="B496" s="2"/>
      <c r="C496" s="3"/>
      <c r="D496" s="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1"/>
      <c r="B497" s="2"/>
      <c r="C497" s="3"/>
      <c r="D497" s="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1"/>
      <c r="B498" s="2"/>
      <c r="C498" s="3"/>
      <c r="D498" s="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1"/>
      <c r="B499" s="2"/>
      <c r="C499" s="3"/>
      <c r="D499" s="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1"/>
      <c r="B500" s="2"/>
      <c r="C500" s="3"/>
      <c r="D500" s="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1"/>
      <c r="B501" s="2"/>
      <c r="C501" s="3"/>
      <c r="D501" s="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1"/>
      <c r="B502" s="2"/>
      <c r="C502" s="3"/>
      <c r="D502" s="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1"/>
      <c r="B503" s="2"/>
      <c r="C503" s="3"/>
      <c r="D503" s="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1"/>
      <c r="B504" s="2"/>
      <c r="C504" s="3"/>
      <c r="D504" s="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1"/>
      <c r="B505" s="2"/>
      <c r="C505" s="3"/>
      <c r="D505" s="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1"/>
      <c r="B506" s="2"/>
      <c r="C506" s="3"/>
      <c r="D506" s="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1"/>
      <c r="B507" s="2"/>
      <c r="C507" s="3"/>
      <c r="D507" s="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1"/>
      <c r="B508" s="2"/>
      <c r="C508" s="3"/>
      <c r="D508" s="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1"/>
      <c r="B509" s="2"/>
      <c r="C509" s="3"/>
      <c r="D509" s="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1"/>
      <c r="B510" s="2"/>
      <c r="C510" s="3"/>
      <c r="D510" s="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1"/>
      <c r="B511" s="2"/>
      <c r="C511" s="3"/>
      <c r="D511" s="3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1"/>
      <c r="B512" s="2"/>
      <c r="C512" s="3"/>
      <c r="D512" s="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1"/>
      <c r="B513" s="2"/>
      <c r="C513" s="3"/>
      <c r="D513" s="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1"/>
      <c r="B514" s="2"/>
      <c r="C514" s="3"/>
      <c r="D514" s="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1"/>
      <c r="B515" s="2"/>
      <c r="C515" s="3"/>
      <c r="D515" s="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1"/>
      <c r="B516" s="2"/>
      <c r="C516" s="3"/>
      <c r="D516" s="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1"/>
      <c r="B517" s="2"/>
      <c r="C517" s="3"/>
      <c r="D517" s="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1"/>
      <c r="B518" s="2"/>
      <c r="C518" s="3"/>
      <c r="D518" s="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1"/>
      <c r="B519" s="2"/>
      <c r="C519" s="3"/>
      <c r="D519" s="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1"/>
      <c r="B520" s="2"/>
      <c r="C520" s="3"/>
      <c r="D520" s="3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1"/>
      <c r="B521" s="2"/>
      <c r="C521" s="3"/>
      <c r="D521" s="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1"/>
      <c r="B522" s="2"/>
      <c r="C522" s="3"/>
      <c r="D522" s="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1"/>
      <c r="B523" s="2"/>
      <c r="C523" s="3"/>
      <c r="D523" s="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1"/>
      <c r="B524" s="2"/>
      <c r="C524" s="3"/>
      <c r="D524" s="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1"/>
      <c r="B525" s="2"/>
      <c r="C525" s="3"/>
      <c r="D525" s="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1"/>
      <c r="B526" s="2"/>
      <c r="C526" s="3"/>
      <c r="D526" s="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1"/>
      <c r="B527" s="2"/>
      <c r="C527" s="3"/>
      <c r="D527" s="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1"/>
      <c r="B528" s="2"/>
      <c r="C528" s="3"/>
      <c r="D528" s="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1"/>
      <c r="B529" s="2"/>
      <c r="C529" s="3"/>
      <c r="D529" s="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1"/>
      <c r="B530" s="2"/>
      <c r="C530" s="3"/>
      <c r="D530" s="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1"/>
      <c r="B531" s="2"/>
      <c r="C531" s="3"/>
      <c r="D531" s="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1"/>
      <c r="B532" s="2"/>
      <c r="C532" s="3"/>
      <c r="D532" s="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1"/>
      <c r="B533" s="2"/>
      <c r="C533" s="3"/>
      <c r="D533" s="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1"/>
      <c r="B534" s="2"/>
      <c r="C534" s="3"/>
      <c r="D534" s="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1"/>
      <c r="B535" s="2"/>
      <c r="C535" s="3"/>
      <c r="D535" s="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1"/>
      <c r="B536" s="2"/>
      <c r="C536" s="3"/>
      <c r="D536" s="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1"/>
      <c r="B537" s="2"/>
      <c r="C537" s="3"/>
      <c r="D537" s="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1"/>
      <c r="B538" s="2"/>
      <c r="C538" s="3"/>
      <c r="D538" s="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1"/>
      <c r="B539" s="2"/>
      <c r="C539" s="3"/>
      <c r="D539" s="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1"/>
      <c r="B540" s="2"/>
      <c r="C540" s="3"/>
      <c r="D540" s="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1"/>
      <c r="B541" s="2"/>
      <c r="C541" s="3"/>
      <c r="D541" s="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1"/>
      <c r="B542" s="2"/>
      <c r="C542" s="3"/>
      <c r="D542" s="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1"/>
      <c r="B543" s="2"/>
      <c r="C543" s="3"/>
      <c r="D543" s="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1"/>
      <c r="B544" s="2"/>
      <c r="C544" s="3"/>
      <c r="D544" s="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1"/>
      <c r="B545" s="2"/>
      <c r="C545" s="3"/>
      <c r="D545" s="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1"/>
      <c r="B546" s="2"/>
      <c r="C546" s="3"/>
      <c r="D546" s="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1"/>
      <c r="B547" s="2"/>
      <c r="C547" s="3"/>
      <c r="D547" s="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1"/>
      <c r="B548" s="2"/>
      <c r="C548" s="3"/>
      <c r="D548" s="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1"/>
      <c r="B549" s="2"/>
      <c r="C549" s="3"/>
      <c r="D549" s="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1"/>
      <c r="B550" s="2"/>
      <c r="C550" s="3"/>
      <c r="D550" s="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1"/>
      <c r="B551" s="2"/>
      <c r="C551" s="3"/>
      <c r="D551" s="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1"/>
      <c r="B552" s="2"/>
      <c r="C552" s="3"/>
      <c r="D552" s="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1"/>
      <c r="B553" s="2"/>
      <c r="C553" s="3"/>
      <c r="D553" s="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1"/>
      <c r="B554" s="2"/>
      <c r="C554" s="3"/>
      <c r="D554" s="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1"/>
      <c r="B555" s="2"/>
      <c r="C555" s="3"/>
      <c r="D555" s="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1"/>
      <c r="B556" s="2"/>
      <c r="C556" s="3"/>
      <c r="D556" s="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1"/>
      <c r="B557" s="2"/>
      <c r="C557" s="3"/>
      <c r="D557" s="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1"/>
      <c r="B558" s="2"/>
      <c r="C558" s="3"/>
      <c r="D558" s="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1"/>
      <c r="B559" s="2"/>
      <c r="C559" s="3"/>
      <c r="D559" s="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1"/>
      <c r="B560" s="2"/>
      <c r="C560" s="3"/>
      <c r="D560" s="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1"/>
      <c r="B561" s="2"/>
      <c r="C561" s="3"/>
      <c r="D561" s="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1"/>
      <c r="B562" s="2"/>
      <c r="C562" s="3"/>
      <c r="D562" s="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1"/>
      <c r="B563" s="2"/>
      <c r="C563" s="3"/>
      <c r="D563" s="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1"/>
      <c r="B564" s="2"/>
      <c r="C564" s="3"/>
      <c r="D564" s="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1"/>
      <c r="B565" s="2"/>
      <c r="C565" s="3"/>
      <c r="D565" s="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1"/>
      <c r="B566" s="2"/>
      <c r="C566" s="3"/>
      <c r="D566" s="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1"/>
      <c r="B567" s="2"/>
      <c r="C567" s="3"/>
      <c r="D567" s="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1"/>
      <c r="B568" s="2"/>
      <c r="C568" s="3"/>
      <c r="D568" s="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1"/>
      <c r="B569" s="2"/>
      <c r="C569" s="3"/>
      <c r="D569" s="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1"/>
      <c r="B570" s="2"/>
      <c r="C570" s="3"/>
      <c r="D570" s="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1"/>
      <c r="B571" s="2"/>
      <c r="C571" s="3"/>
      <c r="D571" s="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1"/>
      <c r="B572" s="2"/>
      <c r="C572" s="3"/>
      <c r="D572" s="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1"/>
      <c r="B573" s="2"/>
      <c r="C573" s="3"/>
      <c r="D573" s="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1"/>
      <c r="B574" s="2"/>
      <c r="C574" s="3"/>
      <c r="D574" s="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1"/>
      <c r="B575" s="2"/>
      <c r="C575" s="3"/>
      <c r="D575" s="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1"/>
      <c r="B576" s="2"/>
      <c r="C576" s="3"/>
      <c r="D576" s="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1"/>
      <c r="B577" s="2"/>
      <c r="C577" s="3"/>
      <c r="D577" s="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1"/>
      <c r="B578" s="2"/>
      <c r="C578" s="3"/>
      <c r="D578" s="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1"/>
      <c r="B579" s="2"/>
      <c r="C579" s="3"/>
      <c r="D579" s="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1"/>
      <c r="B580" s="2"/>
      <c r="C580" s="3"/>
      <c r="D580" s="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1"/>
      <c r="B581" s="2"/>
      <c r="C581" s="3"/>
      <c r="D581" s="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1"/>
      <c r="B582" s="2"/>
      <c r="C582" s="3"/>
      <c r="D582" s="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1"/>
      <c r="B583" s="2"/>
      <c r="C583" s="3"/>
      <c r="D583" s="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1"/>
      <c r="B584" s="2"/>
      <c r="C584" s="3"/>
      <c r="D584" s="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1"/>
      <c r="B585" s="2"/>
      <c r="C585" s="3"/>
      <c r="D585" s="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1"/>
      <c r="B586" s="2"/>
      <c r="C586" s="3"/>
      <c r="D586" s="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1"/>
      <c r="B587" s="2"/>
      <c r="C587" s="3"/>
      <c r="D587" s="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1"/>
      <c r="B588" s="2"/>
      <c r="C588" s="3"/>
      <c r="D588" s="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1"/>
      <c r="B589" s="2"/>
      <c r="C589" s="3"/>
      <c r="D589" s="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1"/>
      <c r="B590" s="2"/>
      <c r="C590" s="3"/>
      <c r="D590" s="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1"/>
      <c r="B591" s="2"/>
      <c r="C591" s="3"/>
      <c r="D591" s="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1"/>
      <c r="B592" s="2"/>
      <c r="C592" s="3"/>
      <c r="D592" s="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1"/>
      <c r="B593" s="2"/>
      <c r="C593" s="3"/>
      <c r="D593" s="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1"/>
      <c r="B594" s="2"/>
      <c r="C594" s="3"/>
      <c r="D594" s="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1"/>
      <c r="B595" s="2"/>
      <c r="C595" s="3"/>
      <c r="D595" s="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1"/>
      <c r="B596" s="2"/>
      <c r="C596" s="3"/>
      <c r="D596" s="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1"/>
      <c r="B597" s="2"/>
      <c r="C597" s="3"/>
      <c r="D597" s="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1"/>
      <c r="B598" s="2"/>
      <c r="C598" s="3"/>
      <c r="D598" s="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1"/>
      <c r="B599" s="2"/>
      <c r="C599" s="3"/>
      <c r="D599" s="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1"/>
      <c r="B600" s="2"/>
      <c r="C600" s="3"/>
      <c r="D600" s="3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1"/>
      <c r="B601" s="2"/>
      <c r="C601" s="3"/>
      <c r="D601" s="3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1"/>
      <c r="B602" s="2"/>
      <c r="C602" s="3"/>
      <c r="D602" s="3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1"/>
      <c r="B603" s="2"/>
      <c r="C603" s="3"/>
      <c r="D603" s="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1"/>
      <c r="B604" s="2"/>
      <c r="C604" s="3"/>
      <c r="D604" s="3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1"/>
      <c r="B605" s="2"/>
      <c r="C605" s="3"/>
      <c r="D605" s="3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1"/>
      <c r="B606" s="2"/>
      <c r="C606" s="3"/>
      <c r="D606" s="3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1"/>
      <c r="B607" s="2"/>
      <c r="C607" s="3"/>
      <c r="D607" s="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1"/>
      <c r="B608" s="2"/>
      <c r="C608" s="3"/>
      <c r="D608" s="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1"/>
      <c r="B609" s="2"/>
      <c r="C609" s="3"/>
      <c r="D609" s="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1"/>
      <c r="B610" s="2"/>
      <c r="C610" s="3"/>
      <c r="D610" s="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1"/>
      <c r="B611" s="2"/>
      <c r="C611" s="3"/>
      <c r="D611" s="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1"/>
      <c r="B612" s="2"/>
      <c r="C612" s="3"/>
      <c r="D612" s="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1"/>
      <c r="B613" s="2"/>
      <c r="C613" s="3"/>
      <c r="D613" s="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1"/>
      <c r="B614" s="2"/>
      <c r="C614" s="3"/>
      <c r="D614" s="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1"/>
      <c r="B615" s="2"/>
      <c r="C615" s="3"/>
      <c r="D615" s="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1"/>
      <c r="B616" s="2"/>
      <c r="C616" s="3"/>
      <c r="D616" s="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1"/>
      <c r="B617" s="2"/>
      <c r="C617" s="3"/>
      <c r="D617" s="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1"/>
      <c r="B618" s="2"/>
      <c r="C618" s="3"/>
      <c r="D618" s="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1"/>
      <c r="B619" s="2"/>
      <c r="C619" s="3"/>
      <c r="D619" s="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1"/>
      <c r="B620" s="2"/>
      <c r="C620" s="3"/>
      <c r="D620" s="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1"/>
      <c r="B621" s="2"/>
      <c r="C621" s="3"/>
      <c r="D621" s="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1"/>
      <c r="B622" s="2"/>
      <c r="C622" s="3"/>
      <c r="D622" s="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1"/>
      <c r="B623" s="2"/>
      <c r="C623" s="3"/>
      <c r="D623" s="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1"/>
      <c r="B624" s="2"/>
      <c r="C624" s="3"/>
      <c r="D624" s="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1"/>
      <c r="B625" s="2"/>
      <c r="C625" s="3"/>
      <c r="D625" s="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1"/>
      <c r="B626" s="2"/>
      <c r="C626" s="3"/>
      <c r="D626" s="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1"/>
      <c r="B627" s="2"/>
      <c r="C627" s="3"/>
      <c r="D627" s="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1"/>
      <c r="B628" s="2"/>
      <c r="C628" s="3"/>
      <c r="D628" s="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1"/>
      <c r="B629" s="2"/>
      <c r="C629" s="3"/>
      <c r="D629" s="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1"/>
      <c r="B630" s="2"/>
      <c r="C630" s="3"/>
      <c r="D630" s="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1"/>
      <c r="B631" s="2"/>
      <c r="C631" s="3"/>
      <c r="D631" s="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1"/>
      <c r="B632" s="2"/>
      <c r="C632" s="3"/>
      <c r="D632" s="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1"/>
      <c r="B633" s="2"/>
      <c r="C633" s="3"/>
      <c r="D633" s="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1"/>
      <c r="B634" s="2"/>
      <c r="C634" s="3"/>
      <c r="D634" s="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1"/>
      <c r="B635" s="2"/>
      <c r="C635" s="3"/>
      <c r="D635" s="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1"/>
      <c r="B636" s="2"/>
      <c r="C636" s="3"/>
      <c r="D636" s="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1"/>
      <c r="B637" s="2"/>
      <c r="C637" s="3"/>
      <c r="D637" s="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1"/>
      <c r="B638" s="2"/>
      <c r="C638" s="3"/>
      <c r="D638" s="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1"/>
      <c r="B639" s="2"/>
      <c r="C639" s="3"/>
      <c r="D639" s="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1"/>
      <c r="B640" s="2"/>
      <c r="C640" s="3"/>
      <c r="D640" s="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1"/>
      <c r="B641" s="2"/>
      <c r="C641" s="3"/>
      <c r="D641" s="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1"/>
      <c r="B642" s="2"/>
      <c r="C642" s="3"/>
      <c r="D642" s="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1"/>
      <c r="B643" s="2"/>
      <c r="C643" s="3"/>
      <c r="D643" s="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1"/>
      <c r="B644" s="2"/>
      <c r="C644" s="3"/>
      <c r="D644" s="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1"/>
      <c r="B645" s="2"/>
      <c r="C645" s="3"/>
      <c r="D645" s="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1"/>
      <c r="B646" s="2"/>
      <c r="C646" s="3"/>
      <c r="D646" s="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1"/>
      <c r="B647" s="2"/>
      <c r="C647" s="3"/>
      <c r="D647" s="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1"/>
      <c r="B648" s="2"/>
      <c r="C648" s="3"/>
      <c r="D648" s="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1"/>
      <c r="B649" s="2"/>
      <c r="C649" s="3"/>
      <c r="D649" s="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1"/>
      <c r="B650" s="2"/>
      <c r="C650" s="3"/>
      <c r="D650" s="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1"/>
      <c r="B651" s="2"/>
      <c r="C651" s="3"/>
      <c r="D651" s="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1"/>
      <c r="B652" s="2"/>
      <c r="C652" s="3"/>
      <c r="D652" s="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1"/>
      <c r="B653" s="2"/>
      <c r="C653" s="3"/>
      <c r="D653" s="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1"/>
      <c r="B654" s="2"/>
      <c r="C654" s="3"/>
      <c r="D654" s="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1"/>
      <c r="B655" s="2"/>
      <c r="C655" s="3"/>
      <c r="D655" s="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1"/>
      <c r="B656" s="2"/>
      <c r="C656" s="3"/>
      <c r="D656" s="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1"/>
      <c r="B657" s="2"/>
      <c r="C657" s="3"/>
      <c r="D657" s="3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1"/>
      <c r="B658" s="2"/>
      <c r="C658" s="3"/>
      <c r="D658" s="3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1"/>
      <c r="B659" s="2"/>
      <c r="C659" s="3"/>
      <c r="D659" s="3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1"/>
      <c r="B660" s="2"/>
      <c r="C660" s="3"/>
      <c r="D660" s="3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1"/>
      <c r="B661" s="2"/>
      <c r="C661" s="3"/>
      <c r="D661" s="3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1"/>
      <c r="B662" s="2"/>
      <c r="C662" s="3"/>
      <c r="D662" s="3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1"/>
      <c r="B663" s="2"/>
      <c r="C663" s="3"/>
      <c r="D663" s="3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1"/>
      <c r="B664" s="2"/>
      <c r="C664" s="3"/>
      <c r="D664" s="3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1"/>
      <c r="B665" s="2"/>
      <c r="C665" s="3"/>
      <c r="D665" s="3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1"/>
      <c r="B666" s="2"/>
      <c r="C666" s="3"/>
      <c r="D666" s="3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1"/>
      <c r="B667" s="2"/>
      <c r="C667" s="3"/>
      <c r="D667" s="3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1"/>
      <c r="B668" s="2"/>
      <c r="C668" s="3"/>
      <c r="D668" s="3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1"/>
      <c r="B669" s="2"/>
      <c r="C669" s="3"/>
      <c r="D669" s="3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1"/>
      <c r="B670" s="2"/>
      <c r="C670" s="3"/>
      <c r="D670" s="3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1"/>
      <c r="B671" s="2"/>
      <c r="C671" s="3"/>
      <c r="D671" s="3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1"/>
      <c r="B672" s="2"/>
      <c r="C672" s="3"/>
      <c r="D672" s="3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1"/>
      <c r="B673" s="2"/>
      <c r="C673" s="3"/>
      <c r="D673" s="3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1"/>
      <c r="B674" s="2"/>
      <c r="C674" s="3"/>
      <c r="D674" s="3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1"/>
      <c r="B675" s="2"/>
      <c r="C675" s="3"/>
      <c r="D675" s="3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1"/>
      <c r="B676" s="2"/>
      <c r="C676" s="3"/>
      <c r="D676" s="3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1"/>
      <c r="B677" s="2"/>
      <c r="C677" s="3"/>
      <c r="D677" s="3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1"/>
      <c r="B678" s="2"/>
      <c r="C678" s="3"/>
      <c r="D678" s="3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1"/>
      <c r="B679" s="2"/>
      <c r="C679" s="3"/>
      <c r="D679" s="3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1"/>
      <c r="B680" s="2"/>
      <c r="C680" s="3"/>
      <c r="D680" s="3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1"/>
      <c r="B681" s="2"/>
      <c r="C681" s="3"/>
      <c r="D681" s="3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1"/>
      <c r="B682" s="2"/>
      <c r="C682" s="3"/>
      <c r="D682" s="3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1"/>
      <c r="B683" s="2"/>
      <c r="C683" s="3"/>
      <c r="D683" s="3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1"/>
      <c r="B684" s="2"/>
      <c r="C684" s="3"/>
      <c r="D684" s="3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1"/>
      <c r="B685" s="2"/>
      <c r="C685" s="3"/>
      <c r="D685" s="3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1"/>
      <c r="B686" s="2"/>
      <c r="C686" s="3"/>
      <c r="D686" s="3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1"/>
      <c r="B687" s="2"/>
      <c r="C687" s="3"/>
      <c r="D687" s="3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1"/>
      <c r="B688" s="2"/>
      <c r="C688" s="3"/>
      <c r="D688" s="3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1"/>
      <c r="B689" s="2"/>
      <c r="C689" s="3"/>
      <c r="D689" s="3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1"/>
      <c r="B690" s="2"/>
      <c r="C690" s="3"/>
      <c r="D690" s="3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1"/>
      <c r="B691" s="2"/>
      <c r="C691" s="3"/>
      <c r="D691" s="3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1"/>
      <c r="B692" s="2"/>
      <c r="C692" s="3"/>
      <c r="D692" s="3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1"/>
      <c r="B693" s="2"/>
      <c r="C693" s="3"/>
      <c r="D693" s="3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1"/>
      <c r="B694" s="2"/>
      <c r="C694" s="3"/>
      <c r="D694" s="3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1"/>
      <c r="B695" s="2"/>
      <c r="C695" s="3"/>
      <c r="D695" s="3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1"/>
      <c r="B696" s="2"/>
      <c r="C696" s="3"/>
      <c r="D696" s="3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1"/>
      <c r="B697" s="2"/>
      <c r="C697" s="3"/>
      <c r="D697" s="3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1"/>
      <c r="B698" s="2"/>
      <c r="C698" s="3"/>
      <c r="D698" s="3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1"/>
      <c r="B699" s="2"/>
      <c r="C699" s="3"/>
      <c r="D699" s="3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1"/>
      <c r="B700" s="2"/>
      <c r="C700" s="3"/>
      <c r="D700" s="3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1"/>
      <c r="B701" s="2"/>
      <c r="C701" s="3"/>
      <c r="D701" s="3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1"/>
      <c r="B702" s="2"/>
      <c r="C702" s="3"/>
      <c r="D702" s="3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1"/>
      <c r="B703" s="2"/>
      <c r="C703" s="3"/>
      <c r="D703" s="3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1"/>
      <c r="B704" s="2"/>
      <c r="C704" s="3"/>
      <c r="D704" s="3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1"/>
      <c r="B705" s="2"/>
      <c r="C705" s="3"/>
      <c r="D705" s="3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1"/>
      <c r="B706" s="2"/>
      <c r="C706" s="3"/>
      <c r="D706" s="3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1"/>
      <c r="B707" s="2"/>
      <c r="C707" s="3"/>
      <c r="D707" s="3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1"/>
      <c r="B708" s="2"/>
      <c r="C708" s="3"/>
      <c r="D708" s="3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1"/>
      <c r="B709" s="2"/>
      <c r="C709" s="3"/>
      <c r="D709" s="3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1"/>
      <c r="B710" s="2"/>
      <c r="C710" s="3"/>
      <c r="D710" s="3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1"/>
      <c r="B711" s="2"/>
      <c r="C711" s="3"/>
      <c r="D711" s="3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1"/>
      <c r="B712" s="2"/>
      <c r="C712" s="3"/>
      <c r="D712" s="3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1"/>
      <c r="B713" s="2"/>
      <c r="C713" s="3"/>
      <c r="D713" s="3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1"/>
      <c r="B714" s="2"/>
      <c r="C714" s="3"/>
      <c r="D714" s="3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1"/>
      <c r="B715" s="2"/>
      <c r="C715" s="3"/>
      <c r="D715" s="3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1"/>
      <c r="B716" s="2"/>
      <c r="C716" s="3"/>
      <c r="D716" s="3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1"/>
      <c r="B717" s="2"/>
      <c r="C717" s="3"/>
      <c r="D717" s="3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1"/>
      <c r="B718" s="2"/>
      <c r="C718" s="3"/>
      <c r="D718" s="3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1"/>
      <c r="B719" s="2"/>
      <c r="C719" s="3"/>
      <c r="D719" s="3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1"/>
      <c r="B720" s="2"/>
      <c r="C720" s="3"/>
      <c r="D720" s="3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1"/>
      <c r="B721" s="2"/>
      <c r="C721" s="3"/>
      <c r="D721" s="3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1"/>
      <c r="B722" s="2"/>
      <c r="C722" s="3"/>
      <c r="D722" s="3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1"/>
      <c r="B723" s="2"/>
      <c r="C723" s="3"/>
      <c r="D723" s="3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1"/>
      <c r="B724" s="2"/>
      <c r="C724" s="3"/>
      <c r="D724" s="3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1"/>
      <c r="B725" s="2"/>
      <c r="C725" s="3"/>
      <c r="D725" s="3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1"/>
      <c r="B726" s="2"/>
      <c r="C726" s="3"/>
      <c r="D726" s="3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1"/>
      <c r="B727" s="2"/>
      <c r="C727" s="3"/>
      <c r="D727" s="3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1"/>
      <c r="B728" s="2"/>
      <c r="C728" s="3"/>
      <c r="D728" s="3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1"/>
      <c r="B729" s="2"/>
      <c r="C729" s="3"/>
      <c r="D729" s="3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1"/>
      <c r="B730" s="2"/>
      <c r="C730" s="3"/>
      <c r="D730" s="3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1"/>
      <c r="B731" s="2"/>
      <c r="C731" s="3"/>
      <c r="D731" s="3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1"/>
      <c r="B732" s="2"/>
      <c r="C732" s="3"/>
      <c r="D732" s="3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1"/>
      <c r="B733" s="2"/>
      <c r="C733" s="3"/>
      <c r="D733" s="3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1"/>
      <c r="B734" s="2"/>
      <c r="C734" s="3"/>
      <c r="D734" s="3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1"/>
      <c r="B735" s="2"/>
      <c r="C735" s="3"/>
      <c r="D735" s="3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1"/>
      <c r="B736" s="2"/>
      <c r="C736" s="3"/>
      <c r="D736" s="3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1"/>
      <c r="B737" s="2"/>
      <c r="C737" s="3"/>
      <c r="D737" s="3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1"/>
      <c r="B738" s="2"/>
      <c r="C738" s="3"/>
      <c r="D738" s="3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1"/>
      <c r="B739" s="2"/>
      <c r="C739" s="3"/>
      <c r="D739" s="3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1"/>
      <c r="B740" s="2"/>
      <c r="C740" s="3"/>
      <c r="D740" s="3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1"/>
      <c r="B741" s="2"/>
      <c r="C741" s="3"/>
      <c r="D741" s="3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1"/>
      <c r="B742" s="2"/>
      <c r="C742" s="3"/>
      <c r="D742" s="3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1"/>
      <c r="B743" s="2"/>
      <c r="C743" s="3"/>
      <c r="D743" s="3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1"/>
      <c r="B744" s="2"/>
      <c r="C744" s="3"/>
      <c r="D744" s="3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1"/>
      <c r="B745" s="2"/>
      <c r="C745" s="3"/>
      <c r="D745" s="3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1"/>
      <c r="B746" s="2"/>
      <c r="C746" s="3"/>
      <c r="D746" s="3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1"/>
      <c r="B747" s="2"/>
      <c r="C747" s="3"/>
      <c r="D747" s="3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1"/>
      <c r="B748" s="2"/>
      <c r="C748" s="3"/>
      <c r="D748" s="3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1"/>
      <c r="B749" s="2"/>
      <c r="C749" s="3"/>
      <c r="D749" s="3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1"/>
      <c r="B750" s="2"/>
      <c r="C750" s="3"/>
      <c r="D750" s="3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1"/>
      <c r="B751" s="2"/>
      <c r="C751" s="3"/>
      <c r="D751" s="3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1"/>
      <c r="B752" s="2"/>
      <c r="C752" s="3"/>
      <c r="D752" s="3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1"/>
      <c r="B753" s="2"/>
      <c r="C753" s="3"/>
      <c r="D753" s="3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1"/>
      <c r="B754" s="2"/>
      <c r="C754" s="3"/>
      <c r="D754" s="3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1"/>
      <c r="B755" s="2"/>
      <c r="C755" s="3"/>
      <c r="D755" s="3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1"/>
      <c r="B756" s="2"/>
      <c r="C756" s="3"/>
      <c r="D756" s="3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1"/>
      <c r="B757" s="2"/>
      <c r="C757" s="3"/>
      <c r="D757" s="3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1"/>
      <c r="B758" s="2"/>
      <c r="C758" s="3"/>
      <c r="D758" s="3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1"/>
      <c r="B759" s="2"/>
      <c r="C759" s="3"/>
      <c r="D759" s="3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1"/>
      <c r="B760" s="2"/>
      <c r="C760" s="3"/>
      <c r="D760" s="3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1"/>
      <c r="B761" s="2"/>
      <c r="C761" s="3"/>
      <c r="D761" s="3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1"/>
      <c r="B762" s="2"/>
      <c r="C762" s="3"/>
      <c r="D762" s="3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1"/>
      <c r="B763" s="2"/>
      <c r="C763" s="3"/>
      <c r="D763" s="3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1"/>
      <c r="B764" s="2"/>
      <c r="C764" s="3"/>
      <c r="D764" s="3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1"/>
      <c r="B765" s="2"/>
      <c r="C765" s="3"/>
      <c r="D765" s="3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1"/>
      <c r="B766" s="2"/>
      <c r="C766" s="3"/>
      <c r="D766" s="3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1"/>
      <c r="B767" s="2"/>
      <c r="C767" s="3"/>
      <c r="D767" s="3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1"/>
      <c r="B768" s="2"/>
      <c r="C768" s="3"/>
      <c r="D768" s="3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1"/>
      <c r="B769" s="2"/>
      <c r="C769" s="3"/>
      <c r="D769" s="3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1"/>
      <c r="B770" s="2"/>
      <c r="C770" s="3"/>
      <c r="D770" s="3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1"/>
      <c r="B771" s="2"/>
      <c r="C771" s="3"/>
      <c r="D771" s="3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1"/>
      <c r="B772" s="2"/>
      <c r="C772" s="3"/>
      <c r="D772" s="3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1"/>
      <c r="B773" s="2"/>
      <c r="C773" s="3"/>
      <c r="D773" s="3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1"/>
      <c r="B774" s="2"/>
      <c r="C774" s="3"/>
      <c r="D774" s="3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1"/>
      <c r="B775" s="2"/>
      <c r="C775" s="3"/>
      <c r="D775" s="3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1"/>
      <c r="B776" s="2"/>
      <c r="C776" s="3"/>
      <c r="D776" s="3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1"/>
      <c r="B777" s="2"/>
      <c r="C777" s="3"/>
      <c r="D777" s="3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1"/>
      <c r="B778" s="2"/>
      <c r="C778" s="3"/>
      <c r="D778" s="3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1"/>
      <c r="B779" s="2"/>
      <c r="C779" s="3"/>
      <c r="D779" s="3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1"/>
      <c r="B780" s="2"/>
      <c r="C780" s="3"/>
      <c r="D780" s="3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1"/>
      <c r="B781" s="2"/>
      <c r="C781" s="3"/>
      <c r="D781" s="3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1"/>
      <c r="B782" s="2"/>
      <c r="C782" s="3"/>
      <c r="D782" s="3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1"/>
      <c r="B783" s="2"/>
      <c r="C783" s="3"/>
      <c r="D783" s="3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1"/>
      <c r="B784" s="2"/>
      <c r="C784" s="3"/>
      <c r="D784" s="3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1"/>
      <c r="B785" s="2"/>
      <c r="C785" s="3"/>
      <c r="D785" s="3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1"/>
      <c r="B786" s="2"/>
      <c r="C786" s="3"/>
      <c r="D786" s="3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1"/>
      <c r="B787" s="2"/>
      <c r="C787" s="3"/>
      <c r="D787" s="3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1"/>
      <c r="B788" s="2"/>
      <c r="C788" s="3"/>
      <c r="D788" s="3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1"/>
      <c r="B789" s="2"/>
      <c r="C789" s="3"/>
      <c r="D789" s="3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1"/>
      <c r="B790" s="2"/>
      <c r="C790" s="3"/>
      <c r="D790" s="3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1"/>
      <c r="B791" s="2"/>
      <c r="C791" s="3"/>
      <c r="D791" s="3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1"/>
      <c r="B792" s="2"/>
      <c r="C792" s="3"/>
      <c r="D792" s="3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1"/>
      <c r="B793" s="2"/>
      <c r="C793" s="3"/>
      <c r="D793" s="3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1"/>
      <c r="B794" s="2"/>
      <c r="C794" s="3"/>
      <c r="D794" s="3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1"/>
      <c r="B795" s="2"/>
      <c r="C795" s="3"/>
      <c r="D795" s="3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1"/>
      <c r="B796" s="2"/>
      <c r="C796" s="3"/>
      <c r="D796" s="3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1"/>
      <c r="B797" s="2"/>
      <c r="C797" s="3"/>
      <c r="D797" s="3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1"/>
      <c r="B798" s="2"/>
      <c r="C798" s="3"/>
      <c r="D798" s="3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1"/>
      <c r="B799" s="2"/>
      <c r="C799" s="3"/>
      <c r="D799" s="3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1"/>
      <c r="B800" s="2"/>
      <c r="C800" s="3"/>
      <c r="D800" s="3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1"/>
      <c r="B801" s="2"/>
      <c r="C801" s="3"/>
      <c r="D801" s="3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1"/>
      <c r="B802" s="2"/>
      <c r="C802" s="3"/>
      <c r="D802" s="3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1"/>
      <c r="B803" s="2"/>
      <c r="C803" s="3"/>
      <c r="D803" s="3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1"/>
      <c r="B804" s="2"/>
      <c r="C804" s="3"/>
      <c r="D804" s="3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1"/>
      <c r="B805" s="2"/>
      <c r="C805" s="3"/>
      <c r="D805" s="3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1"/>
      <c r="B806" s="2"/>
      <c r="C806" s="3"/>
      <c r="D806" s="3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1"/>
      <c r="B807" s="2"/>
      <c r="C807" s="3"/>
      <c r="D807" s="3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1"/>
      <c r="B808" s="2"/>
      <c r="C808" s="3"/>
      <c r="D808" s="3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1"/>
      <c r="B809" s="2"/>
      <c r="C809" s="3"/>
      <c r="D809" s="3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1"/>
      <c r="B810" s="2"/>
      <c r="C810" s="3"/>
      <c r="D810" s="3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1"/>
      <c r="B811" s="2"/>
      <c r="C811" s="3"/>
      <c r="D811" s="3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1"/>
      <c r="B812" s="2"/>
      <c r="C812" s="3"/>
      <c r="D812" s="3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1"/>
      <c r="B813" s="2"/>
      <c r="C813" s="3"/>
      <c r="D813" s="3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1"/>
      <c r="B814" s="2"/>
      <c r="C814" s="3"/>
      <c r="D814" s="3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1"/>
      <c r="B815" s="2"/>
      <c r="C815" s="3"/>
      <c r="D815" s="3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1"/>
      <c r="B816" s="2"/>
      <c r="C816" s="3"/>
      <c r="D816" s="3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1"/>
      <c r="B817" s="2"/>
      <c r="C817" s="3"/>
      <c r="D817" s="3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1"/>
      <c r="B818" s="2"/>
      <c r="C818" s="3"/>
      <c r="D818" s="3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1"/>
      <c r="B819" s="2"/>
      <c r="C819" s="3"/>
      <c r="D819" s="3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1"/>
      <c r="B820" s="2"/>
      <c r="C820" s="3"/>
      <c r="D820" s="3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1"/>
      <c r="B821" s="2"/>
      <c r="C821" s="3"/>
      <c r="D821" s="3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1"/>
      <c r="B822" s="2"/>
      <c r="C822" s="3"/>
      <c r="D822" s="3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1"/>
      <c r="B823" s="2"/>
      <c r="C823" s="3"/>
      <c r="D823" s="3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1"/>
      <c r="B824" s="2"/>
      <c r="C824" s="3"/>
      <c r="D824" s="3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1"/>
      <c r="B825" s="2"/>
      <c r="C825" s="3"/>
      <c r="D825" s="3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1"/>
      <c r="B826" s="2"/>
      <c r="C826" s="3"/>
      <c r="D826" s="3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1"/>
      <c r="B827" s="2"/>
      <c r="C827" s="3"/>
      <c r="D827" s="3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1"/>
      <c r="B828" s="2"/>
      <c r="C828" s="3"/>
      <c r="D828" s="3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1"/>
      <c r="B829" s="2"/>
      <c r="C829" s="3"/>
      <c r="D829" s="3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1"/>
      <c r="B830" s="2"/>
      <c r="C830" s="3"/>
      <c r="D830" s="3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1"/>
      <c r="B831" s="2"/>
      <c r="C831" s="3"/>
      <c r="D831" s="3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1"/>
      <c r="B832" s="2"/>
      <c r="C832" s="3"/>
      <c r="D832" s="3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1"/>
      <c r="B833" s="2"/>
      <c r="C833" s="3"/>
      <c r="D833" s="3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1"/>
      <c r="B834" s="2"/>
      <c r="C834" s="3"/>
      <c r="D834" s="3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1"/>
      <c r="B835" s="2"/>
      <c r="C835" s="3"/>
      <c r="D835" s="3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1"/>
      <c r="B836" s="2"/>
      <c r="C836" s="3"/>
      <c r="D836" s="3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1"/>
      <c r="B837" s="2"/>
      <c r="C837" s="3"/>
      <c r="D837" s="3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1"/>
      <c r="B838" s="2"/>
      <c r="C838" s="3"/>
      <c r="D838" s="3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1"/>
      <c r="B839" s="2"/>
      <c r="C839" s="3"/>
      <c r="D839" s="3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1"/>
      <c r="B840" s="2"/>
      <c r="C840" s="3"/>
      <c r="D840" s="3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1"/>
      <c r="B841" s="2"/>
      <c r="C841" s="3"/>
      <c r="D841" s="3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1"/>
      <c r="B842" s="2"/>
      <c r="C842" s="3"/>
      <c r="D842" s="3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1"/>
      <c r="B843" s="2"/>
      <c r="C843" s="3"/>
      <c r="D843" s="3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1"/>
      <c r="B844" s="2"/>
      <c r="C844" s="3"/>
      <c r="D844" s="3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1"/>
      <c r="B845" s="2"/>
      <c r="C845" s="3"/>
      <c r="D845" s="3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1"/>
      <c r="B846" s="2"/>
      <c r="C846" s="3"/>
      <c r="D846" s="3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1"/>
      <c r="B847" s="2"/>
      <c r="C847" s="3"/>
      <c r="D847" s="3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1"/>
      <c r="B848" s="2"/>
      <c r="C848" s="3"/>
      <c r="D848" s="3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1"/>
      <c r="B849" s="2"/>
      <c r="C849" s="3"/>
      <c r="D849" s="3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1"/>
      <c r="B850" s="2"/>
      <c r="C850" s="3"/>
      <c r="D850" s="3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1"/>
      <c r="B851" s="2"/>
      <c r="C851" s="3"/>
      <c r="D851" s="3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1"/>
      <c r="B852" s="2"/>
      <c r="C852" s="3"/>
      <c r="D852" s="3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1"/>
      <c r="B853" s="2"/>
      <c r="C853" s="3"/>
      <c r="D853" s="3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1"/>
      <c r="B854" s="2"/>
      <c r="C854" s="3"/>
      <c r="D854" s="3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1"/>
      <c r="B855" s="2"/>
      <c r="C855" s="3"/>
      <c r="D855" s="3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1"/>
      <c r="B856" s="2"/>
      <c r="C856" s="3"/>
      <c r="D856" s="3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1"/>
      <c r="B857" s="2"/>
      <c r="C857" s="3"/>
      <c r="D857" s="3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1"/>
      <c r="B858" s="2"/>
      <c r="C858" s="3"/>
      <c r="D858" s="3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1"/>
      <c r="B859" s="2"/>
      <c r="C859" s="3"/>
      <c r="D859" s="3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1"/>
      <c r="B860" s="2"/>
      <c r="C860" s="3"/>
      <c r="D860" s="3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1"/>
      <c r="B861" s="2"/>
      <c r="C861" s="3"/>
      <c r="D861" s="3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1"/>
      <c r="B862" s="2"/>
      <c r="C862" s="3"/>
      <c r="D862" s="3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1"/>
      <c r="B863" s="2"/>
      <c r="C863" s="3"/>
      <c r="D863" s="3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1"/>
      <c r="B864" s="2"/>
      <c r="C864" s="3"/>
      <c r="D864" s="3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1"/>
      <c r="B865" s="2"/>
      <c r="C865" s="3"/>
      <c r="D865" s="3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1"/>
      <c r="B866" s="2"/>
      <c r="C866" s="3"/>
      <c r="D866" s="3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1"/>
      <c r="B867" s="2"/>
      <c r="C867" s="3"/>
      <c r="D867" s="3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1"/>
      <c r="B868" s="2"/>
      <c r="C868" s="3"/>
      <c r="D868" s="3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1"/>
      <c r="B869" s="2"/>
      <c r="C869" s="3"/>
      <c r="D869" s="3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1"/>
      <c r="B870" s="2"/>
      <c r="C870" s="3"/>
      <c r="D870" s="3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1"/>
      <c r="B871" s="2"/>
      <c r="C871" s="3"/>
      <c r="D871" s="3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1"/>
      <c r="B872" s="2"/>
      <c r="C872" s="3"/>
      <c r="D872" s="3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1"/>
      <c r="B873" s="2"/>
      <c r="C873" s="3"/>
      <c r="D873" s="3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1"/>
      <c r="B874" s="2"/>
      <c r="C874" s="3"/>
      <c r="D874" s="3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1"/>
      <c r="B875" s="2"/>
      <c r="C875" s="3"/>
      <c r="D875" s="3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1"/>
      <c r="B876" s="2"/>
      <c r="C876" s="3"/>
      <c r="D876" s="3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1"/>
      <c r="B877" s="2"/>
      <c r="C877" s="3"/>
      <c r="D877" s="3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1"/>
      <c r="B878" s="2"/>
      <c r="C878" s="3"/>
      <c r="D878" s="3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1"/>
      <c r="B879" s="2"/>
      <c r="C879" s="3"/>
      <c r="D879" s="3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1"/>
      <c r="B880" s="2"/>
      <c r="C880" s="3"/>
      <c r="D880" s="3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1"/>
      <c r="B881" s="2"/>
      <c r="C881" s="3"/>
      <c r="D881" s="3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1"/>
      <c r="B882" s="2"/>
      <c r="C882" s="3"/>
      <c r="D882" s="3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1"/>
      <c r="B883" s="2"/>
      <c r="C883" s="3"/>
      <c r="D883" s="3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1"/>
      <c r="B884" s="2"/>
      <c r="C884" s="3"/>
      <c r="D884" s="3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1"/>
      <c r="B885" s="2"/>
      <c r="C885" s="3"/>
      <c r="D885" s="3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1"/>
      <c r="B886" s="2"/>
      <c r="C886" s="3"/>
      <c r="D886" s="3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1"/>
      <c r="B887" s="2"/>
      <c r="C887" s="3"/>
      <c r="D887" s="3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1"/>
      <c r="B888" s="2"/>
      <c r="C888" s="3"/>
      <c r="D888" s="3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1"/>
      <c r="B889" s="2"/>
      <c r="C889" s="3"/>
      <c r="D889" s="3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1"/>
      <c r="B890" s="2"/>
      <c r="C890" s="3"/>
      <c r="D890" s="3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1"/>
      <c r="B891" s="2"/>
      <c r="C891" s="3"/>
      <c r="D891" s="3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1"/>
      <c r="B892" s="2"/>
      <c r="C892" s="3"/>
      <c r="D892" s="3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1"/>
      <c r="B893" s="2"/>
      <c r="C893" s="3"/>
      <c r="D893" s="3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1"/>
      <c r="B894" s="2"/>
      <c r="C894" s="3"/>
      <c r="D894" s="3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1"/>
      <c r="B895" s="2"/>
      <c r="C895" s="3"/>
      <c r="D895" s="3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1"/>
      <c r="B896" s="2"/>
      <c r="C896" s="3"/>
      <c r="D896" s="3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1"/>
      <c r="B897" s="2"/>
      <c r="C897" s="3"/>
      <c r="D897" s="3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1"/>
      <c r="B898" s="2"/>
      <c r="C898" s="3"/>
      <c r="D898" s="3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1"/>
      <c r="B899" s="2"/>
      <c r="C899" s="3"/>
      <c r="D899" s="3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1"/>
      <c r="B900" s="2"/>
      <c r="C900" s="3"/>
      <c r="D900" s="3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1"/>
      <c r="B901" s="2"/>
      <c r="C901" s="3"/>
      <c r="D901" s="3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1"/>
      <c r="B902" s="2"/>
      <c r="C902" s="3"/>
      <c r="D902" s="3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1"/>
      <c r="B903" s="2"/>
      <c r="C903" s="3"/>
      <c r="D903" s="3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1"/>
      <c r="B904" s="2"/>
      <c r="C904" s="3"/>
      <c r="D904" s="3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1"/>
      <c r="B905" s="2"/>
      <c r="C905" s="3"/>
      <c r="D905" s="3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1"/>
      <c r="B906" s="2"/>
      <c r="C906" s="3"/>
      <c r="D906" s="3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1"/>
      <c r="B907" s="2"/>
      <c r="C907" s="3"/>
      <c r="D907" s="3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1"/>
      <c r="B908" s="2"/>
      <c r="C908" s="3"/>
      <c r="D908" s="3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1"/>
      <c r="B909" s="2"/>
      <c r="C909" s="3"/>
      <c r="D909" s="3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1"/>
      <c r="B910" s="2"/>
      <c r="C910" s="3"/>
      <c r="D910" s="3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1"/>
      <c r="B911" s="2"/>
      <c r="C911" s="3"/>
      <c r="D911" s="3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1"/>
      <c r="B912" s="2"/>
      <c r="C912" s="3"/>
      <c r="D912" s="3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1"/>
      <c r="B913" s="2"/>
      <c r="C913" s="3"/>
      <c r="D913" s="3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1"/>
      <c r="B914" s="2"/>
      <c r="C914" s="3"/>
      <c r="D914" s="3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1"/>
      <c r="B915" s="2"/>
      <c r="C915" s="3"/>
      <c r="D915" s="3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1"/>
      <c r="B916" s="2"/>
      <c r="C916" s="3"/>
      <c r="D916" s="3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1"/>
      <c r="B917" s="2"/>
      <c r="C917" s="3"/>
      <c r="D917" s="3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1"/>
      <c r="B918" s="2"/>
      <c r="C918" s="3"/>
      <c r="D918" s="3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1"/>
      <c r="B919" s="2"/>
      <c r="C919" s="3"/>
      <c r="D919" s="3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1"/>
      <c r="B920" s="2"/>
      <c r="C920" s="3"/>
      <c r="D920" s="3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1"/>
      <c r="B921" s="2"/>
      <c r="C921" s="3"/>
      <c r="D921" s="3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1"/>
      <c r="B922" s="2"/>
      <c r="C922" s="3"/>
      <c r="D922" s="3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1"/>
      <c r="B923" s="2"/>
      <c r="C923" s="3"/>
      <c r="D923" s="3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1"/>
      <c r="B924" s="2"/>
      <c r="C924" s="3"/>
      <c r="D924" s="3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1"/>
      <c r="B925" s="2"/>
      <c r="C925" s="3"/>
      <c r="D925" s="3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1"/>
      <c r="B926" s="2"/>
      <c r="C926" s="3"/>
      <c r="D926" s="3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1"/>
      <c r="B927" s="2"/>
      <c r="C927" s="3"/>
      <c r="D927" s="3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1"/>
      <c r="B928" s="2"/>
      <c r="C928" s="3"/>
      <c r="D928" s="3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1"/>
      <c r="B929" s="2"/>
      <c r="C929" s="3"/>
      <c r="D929" s="3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1"/>
      <c r="B930" s="2"/>
      <c r="C930" s="3"/>
      <c r="D930" s="3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1"/>
      <c r="B931" s="2"/>
      <c r="C931" s="3"/>
      <c r="D931" s="3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1"/>
      <c r="B932" s="2"/>
      <c r="C932" s="3"/>
      <c r="D932" s="3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1"/>
      <c r="B933" s="2"/>
      <c r="C933" s="3"/>
      <c r="D933" s="3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1"/>
      <c r="B934" s="2"/>
      <c r="C934" s="3"/>
      <c r="D934" s="3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1"/>
      <c r="B935" s="2"/>
      <c r="C935" s="3"/>
      <c r="D935" s="3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1"/>
      <c r="B936" s="2"/>
      <c r="C936" s="3"/>
      <c r="D936" s="3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1"/>
      <c r="B937" s="2"/>
      <c r="C937" s="3"/>
      <c r="D937" s="3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1"/>
      <c r="B938" s="2"/>
      <c r="C938" s="3"/>
      <c r="D938" s="3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1"/>
      <c r="B939" s="2"/>
      <c r="C939" s="3"/>
      <c r="D939" s="3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1"/>
      <c r="B940" s="2"/>
      <c r="C940" s="3"/>
      <c r="D940" s="3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1"/>
      <c r="B941" s="2"/>
      <c r="C941" s="3"/>
      <c r="D941" s="3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1"/>
      <c r="B942" s="2"/>
      <c r="C942" s="3"/>
      <c r="D942" s="3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1"/>
      <c r="B943" s="2"/>
      <c r="C943" s="3"/>
      <c r="D943" s="3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1"/>
      <c r="B944" s="2"/>
      <c r="C944" s="3"/>
      <c r="D944" s="3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1"/>
      <c r="B945" s="2"/>
      <c r="C945" s="3"/>
      <c r="D945" s="3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1"/>
      <c r="B946" s="2"/>
      <c r="C946" s="3"/>
      <c r="D946" s="3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1"/>
      <c r="B947" s="2"/>
      <c r="C947" s="3"/>
      <c r="D947" s="3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1"/>
      <c r="B948" s="2"/>
      <c r="C948" s="3"/>
      <c r="D948" s="3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1"/>
      <c r="B949" s="2"/>
      <c r="C949" s="3"/>
      <c r="D949" s="3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1"/>
      <c r="B950" s="2"/>
      <c r="C950" s="3"/>
      <c r="D950" s="3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1"/>
      <c r="B951" s="2"/>
      <c r="C951" s="3"/>
      <c r="D951" s="3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1"/>
      <c r="B952" s="2"/>
      <c r="C952" s="3"/>
      <c r="D952" s="3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1"/>
      <c r="B953" s="2"/>
      <c r="C953" s="3"/>
      <c r="D953" s="3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1"/>
      <c r="B954" s="2"/>
      <c r="C954" s="3"/>
      <c r="D954" s="3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1"/>
      <c r="B955" s="2"/>
      <c r="C955" s="3"/>
      <c r="D955" s="3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1"/>
      <c r="B956" s="2"/>
      <c r="C956" s="3"/>
      <c r="D956" s="3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1"/>
      <c r="B957" s="2"/>
      <c r="C957" s="3"/>
      <c r="D957" s="3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1"/>
      <c r="B958" s="2"/>
      <c r="C958" s="3"/>
      <c r="D958" s="3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1"/>
      <c r="B959" s="2"/>
      <c r="C959" s="3"/>
      <c r="D959" s="3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1"/>
      <c r="B960" s="2"/>
      <c r="C960" s="3"/>
      <c r="D960" s="3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1"/>
      <c r="B961" s="2"/>
      <c r="C961" s="3"/>
      <c r="D961" s="3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1"/>
      <c r="B962" s="2"/>
      <c r="C962" s="3"/>
      <c r="D962" s="3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1"/>
      <c r="B963" s="2"/>
      <c r="C963" s="3"/>
      <c r="D963" s="3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1"/>
      <c r="B964" s="2"/>
      <c r="C964" s="3"/>
      <c r="D964" s="3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1"/>
      <c r="B965" s="2"/>
      <c r="C965" s="3"/>
      <c r="D965" s="3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1"/>
      <c r="B966" s="2"/>
      <c r="C966" s="3"/>
      <c r="D966" s="3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1"/>
      <c r="B967" s="2"/>
      <c r="C967" s="3"/>
      <c r="D967" s="3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1"/>
      <c r="B968" s="2"/>
      <c r="C968" s="3"/>
      <c r="D968" s="3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1"/>
      <c r="B969" s="2"/>
      <c r="C969" s="3"/>
      <c r="D969" s="3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1"/>
      <c r="B970" s="2"/>
      <c r="C970" s="3"/>
      <c r="D970" s="3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1"/>
      <c r="B971" s="2"/>
      <c r="C971" s="3"/>
      <c r="D971" s="3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1"/>
      <c r="B972" s="2"/>
      <c r="C972" s="3"/>
      <c r="D972" s="3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1"/>
      <c r="B973" s="2"/>
      <c r="C973" s="3"/>
      <c r="D973" s="3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1"/>
      <c r="B974" s="2"/>
      <c r="C974" s="3"/>
      <c r="D974" s="3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1"/>
      <c r="B975" s="2"/>
      <c r="C975" s="3"/>
      <c r="D975" s="3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1"/>
      <c r="B976" s="2"/>
      <c r="C976" s="3"/>
      <c r="D976" s="3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1"/>
      <c r="B977" s="2"/>
      <c r="C977" s="3"/>
      <c r="D977" s="3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1"/>
      <c r="B978" s="2"/>
      <c r="C978" s="3"/>
      <c r="D978" s="3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1"/>
      <c r="B979" s="2"/>
      <c r="C979" s="3"/>
      <c r="D979" s="3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1"/>
      <c r="B980" s="2"/>
      <c r="C980" s="3"/>
      <c r="D980" s="3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1"/>
      <c r="B981" s="2"/>
      <c r="C981" s="3"/>
      <c r="D981" s="3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1"/>
      <c r="B982" s="2"/>
      <c r="C982" s="3"/>
      <c r="D982" s="3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1"/>
      <c r="B983" s="2"/>
      <c r="C983" s="3"/>
      <c r="D983" s="3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1"/>
      <c r="B984" s="2"/>
      <c r="C984" s="3"/>
      <c r="D984" s="3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1"/>
      <c r="B985" s="2"/>
      <c r="C985" s="3"/>
      <c r="D985" s="3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1"/>
      <c r="B986" s="2"/>
      <c r="C986" s="3"/>
      <c r="D986" s="3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1"/>
      <c r="B987" s="2"/>
      <c r="C987" s="3"/>
      <c r="D987" s="3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">
      <c r="A988" s="1"/>
      <c r="B988" s="2"/>
      <c r="C988" s="3"/>
      <c r="D988" s="3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">
      <c r="A989" s="1"/>
      <c r="B989" s="2"/>
      <c r="C989" s="3"/>
      <c r="D989" s="3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">
      <c r="A990" s="1"/>
      <c r="B990" s="2"/>
      <c r="C990" s="3"/>
      <c r="D990" s="3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">
      <c r="A991" s="1"/>
      <c r="B991" s="2"/>
      <c r="C991" s="3"/>
      <c r="D991" s="3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">
      <c r="A992" s="1"/>
      <c r="B992" s="2"/>
      <c r="C992" s="3"/>
      <c r="D992" s="3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">
      <c r="A993" s="1"/>
      <c r="B993" s="2"/>
      <c r="C993" s="3"/>
      <c r="D993" s="3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">
      <c r="A994" s="1"/>
      <c r="B994" s="2"/>
      <c r="C994" s="3"/>
      <c r="D994" s="3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">
      <c r="A995" s="1"/>
      <c r="B995" s="2"/>
      <c r="C995" s="3"/>
      <c r="D995" s="3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">
      <c r="A996" s="1"/>
      <c r="B996" s="2"/>
      <c r="C996" s="3"/>
      <c r="D996" s="3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">
      <c r="A997" s="1"/>
      <c r="B997" s="2"/>
      <c r="C997" s="3"/>
      <c r="D997" s="3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">
      <c r="A998" s="1"/>
      <c r="B998" s="2"/>
      <c r="C998" s="3"/>
      <c r="D998" s="3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">
      <c r="A999" s="1"/>
      <c r="B999" s="2"/>
      <c r="C999" s="3"/>
      <c r="D999" s="3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">
      <c r="A1000" s="1"/>
      <c r="B1000" s="2"/>
      <c r="C1000" s="3"/>
      <c r="D1000" s="3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x14ac:dyDescent="0.2">
      <c r="A1001" s="1"/>
      <c r="B1001" s="2"/>
      <c r="C1001" s="3"/>
      <c r="D1001" s="3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x14ac:dyDescent="0.2">
      <c r="A1002" s="1"/>
      <c r="B1002" s="2"/>
      <c r="C1002" s="3"/>
      <c r="D1002" s="3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x14ac:dyDescent="0.2">
      <c r="A1003" s="1"/>
      <c r="B1003" s="2"/>
      <c r="C1003" s="3"/>
      <c r="D1003" s="3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x14ac:dyDescent="0.2">
      <c r="A1004" s="1"/>
      <c r="B1004" s="2"/>
      <c r="C1004" s="3"/>
      <c r="D1004" s="3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x14ac:dyDescent="0.2">
      <c r="A1005" s="1"/>
      <c r="B1005" s="2"/>
      <c r="C1005" s="3"/>
      <c r="D1005" s="3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x14ac:dyDescent="0.2">
      <c r="A1006" s="1"/>
      <c r="B1006" s="2"/>
      <c r="C1006" s="3"/>
      <c r="D1006" s="3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x14ac:dyDescent="0.2">
      <c r="A1007" s="1"/>
      <c r="B1007" s="2"/>
      <c r="C1007" s="3"/>
      <c r="D1007" s="3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mergeCells count="4">
    <mergeCell ref="A2:E2"/>
    <mergeCell ref="A14:E14"/>
    <mergeCell ref="A25:E25"/>
    <mergeCell ref="A36:E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80"/>
  <sheetViews>
    <sheetView workbookViewId="0"/>
  </sheetViews>
  <sheetFormatPr defaultColWidth="12.5703125" defaultRowHeight="15.75" customHeight="1" x14ac:dyDescent="0.2"/>
  <cols>
    <col min="1" max="1" width="24.42578125" customWidth="1"/>
    <col min="2" max="2" width="20.42578125" customWidth="1"/>
    <col min="3" max="3" width="17.85546875" customWidth="1"/>
    <col min="4" max="4" width="17.42578125" customWidth="1"/>
  </cols>
  <sheetData>
    <row r="1" spans="1:25" ht="12.75" x14ac:dyDescent="0.2">
      <c r="A1" s="2"/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2.75" x14ac:dyDescent="0.2">
      <c r="A2" s="94" t="s">
        <v>50</v>
      </c>
      <c r="B2" s="95"/>
      <c r="C2" s="95"/>
      <c r="D2" s="9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32.25" customHeight="1" x14ac:dyDescent="0.2">
      <c r="A3" s="59" t="s">
        <v>51</v>
      </c>
      <c r="B3" s="60" t="s">
        <v>20</v>
      </c>
      <c r="C3" s="60" t="s">
        <v>4</v>
      </c>
      <c r="D3" s="59" t="s">
        <v>5</v>
      </c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</row>
    <row r="4" spans="1:25" ht="12.75" x14ac:dyDescent="0.2">
      <c r="A4" s="18" t="s">
        <v>23</v>
      </c>
      <c r="B4" s="19">
        <v>300</v>
      </c>
      <c r="C4" s="19">
        <v>5500</v>
      </c>
      <c r="D4" s="20">
        <f t="shared" ref="D4:D21" si="0">B4+C4</f>
        <v>5800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ht="12.75" x14ac:dyDescent="0.2">
      <c r="A5" s="22" t="s">
        <v>52</v>
      </c>
      <c r="B5" s="23">
        <v>450</v>
      </c>
      <c r="C5" s="23">
        <v>5800</v>
      </c>
      <c r="D5" s="24">
        <f t="shared" si="0"/>
        <v>6250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ht="12.75" x14ac:dyDescent="0.2">
      <c r="A6" s="18" t="s">
        <v>24</v>
      </c>
      <c r="B6" s="19">
        <v>600</v>
      </c>
      <c r="C6" s="19">
        <v>6100</v>
      </c>
      <c r="D6" s="20">
        <f t="shared" si="0"/>
        <v>6700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ht="12.75" x14ac:dyDescent="0.2">
      <c r="A7" s="22" t="s">
        <v>53</v>
      </c>
      <c r="B7" s="23">
        <v>750</v>
      </c>
      <c r="C7" s="23">
        <v>6400</v>
      </c>
      <c r="D7" s="24">
        <f t="shared" si="0"/>
        <v>7150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ht="12.75" x14ac:dyDescent="0.2">
      <c r="A8" s="18" t="s">
        <v>25</v>
      </c>
      <c r="B8" s="19">
        <v>900</v>
      </c>
      <c r="C8" s="19">
        <v>6700</v>
      </c>
      <c r="D8" s="20">
        <f t="shared" si="0"/>
        <v>7600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25" ht="12.75" x14ac:dyDescent="0.2">
      <c r="A9" s="22" t="s">
        <v>54</v>
      </c>
      <c r="B9" s="23">
        <f>(B8+B10)/2</f>
        <v>1050</v>
      </c>
      <c r="C9" s="23">
        <v>7000</v>
      </c>
      <c r="D9" s="24">
        <f t="shared" si="0"/>
        <v>8050</v>
      </c>
      <c r="E9" s="12"/>
      <c r="F9" s="25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25" ht="12.75" x14ac:dyDescent="0.2">
      <c r="A10" s="18" t="s">
        <v>26</v>
      </c>
      <c r="B10" s="19">
        <v>1200</v>
      </c>
      <c r="C10" s="19">
        <v>7300</v>
      </c>
      <c r="D10" s="20">
        <f t="shared" si="0"/>
        <v>8500</v>
      </c>
      <c r="E10" s="12"/>
      <c r="F10" s="25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ht="12.75" x14ac:dyDescent="0.2">
      <c r="A11" s="22" t="s">
        <v>55</v>
      </c>
      <c r="B11" s="23">
        <f>(B10+B12)/2</f>
        <v>1350</v>
      </c>
      <c r="C11" s="23">
        <v>7600</v>
      </c>
      <c r="D11" s="24">
        <f t="shared" si="0"/>
        <v>8950</v>
      </c>
      <c r="E11" s="12"/>
      <c r="F11" s="25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ht="12.75" x14ac:dyDescent="0.2">
      <c r="A12" s="18" t="s">
        <v>7</v>
      </c>
      <c r="B12" s="19">
        <v>1500</v>
      </c>
      <c r="C12" s="19">
        <v>7900</v>
      </c>
      <c r="D12" s="20">
        <f t="shared" si="0"/>
        <v>9400</v>
      </c>
      <c r="E12" s="12"/>
      <c r="F12" s="25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5" ht="12.75" x14ac:dyDescent="0.2">
      <c r="A13" s="22" t="s">
        <v>56</v>
      </c>
      <c r="B13" s="23">
        <f>(B12+B14)/2</f>
        <v>1650</v>
      </c>
      <c r="C13" s="23">
        <v>8200</v>
      </c>
      <c r="D13" s="24">
        <f t="shared" si="0"/>
        <v>9850</v>
      </c>
      <c r="E13" s="12"/>
      <c r="F13" s="25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ht="12.75" x14ac:dyDescent="0.2">
      <c r="A14" s="18" t="s">
        <v>9</v>
      </c>
      <c r="B14" s="19">
        <v>1800</v>
      </c>
      <c r="C14" s="19">
        <v>8500</v>
      </c>
      <c r="D14" s="20">
        <f t="shared" si="0"/>
        <v>10300</v>
      </c>
      <c r="E14" s="12"/>
      <c r="F14" s="25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5" ht="12.75" x14ac:dyDescent="0.2">
      <c r="A15" s="22" t="s">
        <v>28</v>
      </c>
      <c r="B15" s="23">
        <f>(B14+B16)/2</f>
        <v>1950</v>
      </c>
      <c r="C15" s="23">
        <v>8800</v>
      </c>
      <c r="D15" s="24">
        <f t="shared" si="0"/>
        <v>10750</v>
      </c>
      <c r="E15" s="4"/>
      <c r="F15" s="1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2.75" x14ac:dyDescent="0.2">
      <c r="A16" s="18" t="s">
        <v>11</v>
      </c>
      <c r="B16" s="19">
        <v>2100</v>
      </c>
      <c r="C16" s="19">
        <v>9100</v>
      </c>
      <c r="D16" s="20">
        <f t="shared" si="0"/>
        <v>11200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22" t="s">
        <v>57</v>
      </c>
      <c r="B17" s="23">
        <f>(B18+B16)/2</f>
        <v>2250</v>
      </c>
      <c r="C17" s="23">
        <v>9400</v>
      </c>
      <c r="D17" s="24">
        <f t="shared" si="0"/>
        <v>11650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8" t="s">
        <v>13</v>
      </c>
      <c r="B18" s="19">
        <v>2400</v>
      </c>
      <c r="C18" s="19">
        <v>9700</v>
      </c>
      <c r="D18" s="20">
        <f t="shared" si="0"/>
        <v>12100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22" t="s">
        <v>58</v>
      </c>
      <c r="B19" s="23">
        <f>(B20+B18)/2</f>
        <v>2550</v>
      </c>
      <c r="C19" s="23">
        <v>10000</v>
      </c>
      <c r="D19" s="24">
        <f t="shared" si="0"/>
        <v>12550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18" t="s">
        <v>15</v>
      </c>
      <c r="B20" s="19">
        <v>2700</v>
      </c>
      <c r="C20" s="19">
        <v>10300</v>
      </c>
      <c r="D20" s="20">
        <f t="shared" si="0"/>
        <v>13000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22" t="s">
        <v>59</v>
      </c>
      <c r="B21" s="23">
        <v>2750</v>
      </c>
      <c r="C21" s="23">
        <v>10600</v>
      </c>
      <c r="D21" s="24">
        <f t="shared" si="0"/>
        <v>13350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8.75" x14ac:dyDescent="0.3">
      <c r="A22" s="62" t="s">
        <v>17</v>
      </c>
      <c r="B22" s="63">
        <v>3000</v>
      </c>
      <c r="C22" s="63">
        <v>10900</v>
      </c>
      <c r="D22" s="64">
        <f>B22+C22+100</f>
        <v>14000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</row>
    <row r="23" spans="1:25" ht="12.75" x14ac:dyDescent="0.2">
      <c r="A23" s="22" t="s">
        <v>60</v>
      </c>
      <c r="B23" s="23">
        <v>3150</v>
      </c>
      <c r="C23" s="23">
        <v>11200</v>
      </c>
      <c r="D23" s="24">
        <f t="shared" ref="D23:D32" si="1">B23+C23</f>
        <v>14350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x14ac:dyDescent="0.2">
      <c r="A24" s="18" t="s">
        <v>61</v>
      </c>
      <c r="B24" s="19">
        <v>3300</v>
      </c>
      <c r="C24" s="19">
        <v>11500</v>
      </c>
      <c r="D24" s="20">
        <f t="shared" si="1"/>
        <v>14800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x14ac:dyDescent="0.2">
      <c r="A25" s="22" t="s">
        <v>62</v>
      </c>
      <c r="B25" s="23">
        <f t="shared" ref="B25:B32" si="2">B24+150</f>
        <v>3450</v>
      </c>
      <c r="C25" s="23">
        <v>11800</v>
      </c>
      <c r="D25" s="24">
        <f t="shared" si="1"/>
        <v>15250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x14ac:dyDescent="0.2">
      <c r="A26" s="18" t="s">
        <v>63</v>
      </c>
      <c r="B26" s="19">
        <f t="shared" si="2"/>
        <v>3600</v>
      </c>
      <c r="C26" s="19">
        <v>12100</v>
      </c>
      <c r="D26" s="20">
        <f t="shared" si="1"/>
        <v>15700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x14ac:dyDescent="0.2">
      <c r="A27" s="22" t="s">
        <v>64</v>
      </c>
      <c r="B27" s="23">
        <f t="shared" si="2"/>
        <v>3750</v>
      </c>
      <c r="C27" s="23">
        <v>12400</v>
      </c>
      <c r="D27" s="24">
        <f t="shared" si="1"/>
        <v>16150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x14ac:dyDescent="0.2">
      <c r="A28" s="18" t="s">
        <v>65</v>
      </c>
      <c r="B28" s="19">
        <f t="shared" si="2"/>
        <v>3900</v>
      </c>
      <c r="C28" s="19">
        <v>12700</v>
      </c>
      <c r="D28" s="20">
        <f t="shared" si="1"/>
        <v>16600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x14ac:dyDescent="0.2">
      <c r="A29" s="22" t="s">
        <v>66</v>
      </c>
      <c r="B29" s="23">
        <f t="shared" si="2"/>
        <v>4050</v>
      </c>
      <c r="C29" s="23">
        <v>13000</v>
      </c>
      <c r="D29" s="24">
        <f t="shared" si="1"/>
        <v>17050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x14ac:dyDescent="0.2">
      <c r="A30" s="18" t="s">
        <v>67</v>
      </c>
      <c r="B30" s="19">
        <f t="shared" si="2"/>
        <v>4200</v>
      </c>
      <c r="C30" s="19">
        <v>13300</v>
      </c>
      <c r="D30" s="20">
        <f t="shared" si="1"/>
        <v>17500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x14ac:dyDescent="0.2">
      <c r="A31" s="22" t="s">
        <v>68</v>
      </c>
      <c r="B31" s="23">
        <f t="shared" si="2"/>
        <v>4350</v>
      </c>
      <c r="C31" s="23">
        <v>13600</v>
      </c>
      <c r="D31" s="24">
        <f t="shared" si="1"/>
        <v>17950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x14ac:dyDescent="0.2">
      <c r="A32" s="18" t="s">
        <v>69</v>
      </c>
      <c r="B32" s="19">
        <f t="shared" si="2"/>
        <v>4500</v>
      </c>
      <c r="C32" s="19">
        <v>13900</v>
      </c>
      <c r="D32" s="20">
        <f t="shared" si="1"/>
        <v>18400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x14ac:dyDescent="0.2">
      <c r="A33" s="28"/>
      <c r="B33" s="28"/>
      <c r="C33" s="28"/>
      <c r="D33" s="2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x14ac:dyDescent="0.2">
      <c r="A34" s="97" t="s">
        <v>70</v>
      </c>
      <c r="B34" s="98"/>
      <c r="C34" s="98"/>
      <c r="D34" s="99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x14ac:dyDescent="0.2">
      <c r="A35" s="15" t="s">
        <v>51</v>
      </c>
      <c r="B35" s="16" t="s">
        <v>3</v>
      </c>
      <c r="C35" s="16" t="s">
        <v>4</v>
      </c>
      <c r="D35" s="15" t="s">
        <v>5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x14ac:dyDescent="0.2">
      <c r="A36" s="30" t="s">
        <v>23</v>
      </c>
      <c r="B36" s="31">
        <f>B4-100</f>
        <v>200</v>
      </c>
      <c r="C36" s="31">
        <v>3750</v>
      </c>
      <c r="D36" s="32">
        <f t="shared" ref="D36:D64" si="3">B36+C36</f>
        <v>3950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x14ac:dyDescent="0.2">
      <c r="A37" s="22" t="s">
        <v>52</v>
      </c>
      <c r="B37" s="23">
        <f>(B36+B38)/2</f>
        <v>350</v>
      </c>
      <c r="C37" s="23">
        <f t="shared" ref="C37:C64" si="4">C36+200</f>
        <v>3950</v>
      </c>
      <c r="D37" s="24">
        <f t="shared" si="3"/>
        <v>4300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x14ac:dyDescent="0.2">
      <c r="A38" s="30" t="s">
        <v>24</v>
      </c>
      <c r="B38" s="31">
        <f>B6-100</f>
        <v>500</v>
      </c>
      <c r="C38" s="31">
        <f t="shared" si="4"/>
        <v>4150</v>
      </c>
      <c r="D38" s="32">
        <f t="shared" si="3"/>
        <v>4650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x14ac:dyDescent="0.2">
      <c r="A39" s="22" t="s">
        <v>53</v>
      </c>
      <c r="B39" s="23">
        <f t="shared" ref="B39:B64" si="5">B38+150</f>
        <v>650</v>
      </c>
      <c r="C39" s="23">
        <f t="shared" si="4"/>
        <v>4350</v>
      </c>
      <c r="D39" s="24">
        <f t="shared" si="3"/>
        <v>5000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x14ac:dyDescent="0.2">
      <c r="A40" s="30" t="s">
        <v>25</v>
      </c>
      <c r="B40" s="31">
        <f t="shared" si="5"/>
        <v>800</v>
      </c>
      <c r="C40" s="31">
        <f t="shared" si="4"/>
        <v>4550</v>
      </c>
      <c r="D40" s="32">
        <f t="shared" si="3"/>
        <v>5350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x14ac:dyDescent="0.2">
      <c r="A41" s="22" t="s">
        <v>54</v>
      </c>
      <c r="B41" s="23">
        <f t="shared" si="5"/>
        <v>950</v>
      </c>
      <c r="C41" s="23">
        <f t="shared" si="4"/>
        <v>4750</v>
      </c>
      <c r="D41" s="24">
        <f t="shared" si="3"/>
        <v>5700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x14ac:dyDescent="0.2">
      <c r="A42" s="30" t="s">
        <v>26</v>
      </c>
      <c r="B42" s="31">
        <f t="shared" si="5"/>
        <v>1100</v>
      </c>
      <c r="C42" s="31">
        <f t="shared" si="4"/>
        <v>4950</v>
      </c>
      <c r="D42" s="32">
        <f t="shared" si="3"/>
        <v>6050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x14ac:dyDescent="0.2">
      <c r="A43" s="22" t="s">
        <v>55</v>
      </c>
      <c r="B43" s="23">
        <f t="shared" si="5"/>
        <v>1250</v>
      </c>
      <c r="C43" s="23">
        <f t="shared" si="4"/>
        <v>5150</v>
      </c>
      <c r="D43" s="24">
        <f t="shared" si="3"/>
        <v>6400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x14ac:dyDescent="0.2">
      <c r="A44" s="30" t="s">
        <v>7</v>
      </c>
      <c r="B44" s="31">
        <f t="shared" si="5"/>
        <v>1400</v>
      </c>
      <c r="C44" s="31">
        <f t="shared" si="4"/>
        <v>5350</v>
      </c>
      <c r="D44" s="32">
        <f t="shared" si="3"/>
        <v>6750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x14ac:dyDescent="0.2">
      <c r="A45" s="22" t="s">
        <v>56</v>
      </c>
      <c r="B45" s="23">
        <f t="shared" si="5"/>
        <v>1550</v>
      </c>
      <c r="C45" s="23">
        <f t="shared" si="4"/>
        <v>5550</v>
      </c>
      <c r="D45" s="24">
        <f t="shared" si="3"/>
        <v>7100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x14ac:dyDescent="0.2">
      <c r="A46" s="30" t="s">
        <v>9</v>
      </c>
      <c r="B46" s="31">
        <f t="shared" si="5"/>
        <v>1700</v>
      </c>
      <c r="C46" s="31">
        <f t="shared" si="4"/>
        <v>5750</v>
      </c>
      <c r="D46" s="32">
        <f t="shared" si="3"/>
        <v>7450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x14ac:dyDescent="0.2">
      <c r="A47" s="22" t="s">
        <v>28</v>
      </c>
      <c r="B47" s="23">
        <f t="shared" si="5"/>
        <v>1850</v>
      </c>
      <c r="C47" s="23">
        <f t="shared" si="4"/>
        <v>5950</v>
      </c>
      <c r="D47" s="24">
        <f t="shared" si="3"/>
        <v>7800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x14ac:dyDescent="0.2">
      <c r="A48" s="30" t="s">
        <v>11</v>
      </c>
      <c r="B48" s="31">
        <f t="shared" si="5"/>
        <v>2000</v>
      </c>
      <c r="C48" s="31">
        <f t="shared" si="4"/>
        <v>6150</v>
      </c>
      <c r="D48" s="32">
        <f t="shared" si="3"/>
        <v>8150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x14ac:dyDescent="0.2">
      <c r="A49" s="22" t="s">
        <v>57</v>
      </c>
      <c r="B49" s="23">
        <f t="shared" si="5"/>
        <v>2150</v>
      </c>
      <c r="C49" s="23">
        <f t="shared" si="4"/>
        <v>6350</v>
      </c>
      <c r="D49" s="24">
        <f t="shared" si="3"/>
        <v>8500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x14ac:dyDescent="0.2">
      <c r="A50" s="30" t="s">
        <v>13</v>
      </c>
      <c r="B50" s="31">
        <f t="shared" si="5"/>
        <v>2300</v>
      </c>
      <c r="C50" s="31">
        <f t="shared" si="4"/>
        <v>6550</v>
      </c>
      <c r="D50" s="32">
        <f t="shared" si="3"/>
        <v>8850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x14ac:dyDescent="0.2">
      <c r="A51" s="22" t="s">
        <v>58</v>
      </c>
      <c r="B51" s="23">
        <f t="shared" si="5"/>
        <v>2450</v>
      </c>
      <c r="C51" s="23">
        <f t="shared" si="4"/>
        <v>6750</v>
      </c>
      <c r="D51" s="24">
        <f t="shared" si="3"/>
        <v>9200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x14ac:dyDescent="0.2">
      <c r="A52" s="30" t="s">
        <v>15</v>
      </c>
      <c r="B52" s="31">
        <f t="shared" si="5"/>
        <v>2600</v>
      </c>
      <c r="C52" s="31">
        <f t="shared" si="4"/>
        <v>6950</v>
      </c>
      <c r="D52" s="32">
        <f t="shared" si="3"/>
        <v>9550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x14ac:dyDescent="0.2">
      <c r="A53" s="22" t="s">
        <v>59</v>
      </c>
      <c r="B53" s="23">
        <f t="shared" si="5"/>
        <v>2750</v>
      </c>
      <c r="C53" s="23">
        <f t="shared" si="4"/>
        <v>7150</v>
      </c>
      <c r="D53" s="24">
        <f t="shared" si="3"/>
        <v>9900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8.75" x14ac:dyDescent="0.3">
      <c r="A54" s="66" t="s">
        <v>17</v>
      </c>
      <c r="B54" s="67">
        <f t="shared" si="5"/>
        <v>2900</v>
      </c>
      <c r="C54" s="67">
        <f t="shared" si="4"/>
        <v>7350</v>
      </c>
      <c r="D54" s="68">
        <f t="shared" si="3"/>
        <v>10250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x14ac:dyDescent="0.2">
      <c r="A55" s="22" t="s">
        <v>60</v>
      </c>
      <c r="B55" s="23">
        <f t="shared" si="5"/>
        <v>3050</v>
      </c>
      <c r="C55" s="23">
        <f t="shared" si="4"/>
        <v>7550</v>
      </c>
      <c r="D55" s="24">
        <f t="shared" si="3"/>
        <v>10600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x14ac:dyDescent="0.2">
      <c r="A56" s="30" t="s">
        <v>61</v>
      </c>
      <c r="B56" s="31">
        <f t="shared" si="5"/>
        <v>3200</v>
      </c>
      <c r="C56" s="31">
        <f t="shared" si="4"/>
        <v>7750</v>
      </c>
      <c r="D56" s="32">
        <f t="shared" si="3"/>
        <v>10950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x14ac:dyDescent="0.2">
      <c r="A57" s="22" t="s">
        <v>62</v>
      </c>
      <c r="B57" s="23">
        <f t="shared" si="5"/>
        <v>3350</v>
      </c>
      <c r="C57" s="23">
        <f t="shared" si="4"/>
        <v>7950</v>
      </c>
      <c r="D57" s="24">
        <f t="shared" si="3"/>
        <v>11300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x14ac:dyDescent="0.2">
      <c r="A58" s="30" t="s">
        <v>63</v>
      </c>
      <c r="B58" s="31">
        <f t="shared" si="5"/>
        <v>3500</v>
      </c>
      <c r="C58" s="31">
        <f t="shared" si="4"/>
        <v>8150</v>
      </c>
      <c r="D58" s="32">
        <f t="shared" si="3"/>
        <v>11650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x14ac:dyDescent="0.2">
      <c r="A59" s="22" t="s">
        <v>64</v>
      </c>
      <c r="B59" s="23">
        <f t="shared" si="5"/>
        <v>3650</v>
      </c>
      <c r="C59" s="23">
        <f t="shared" si="4"/>
        <v>8350</v>
      </c>
      <c r="D59" s="24">
        <f t="shared" si="3"/>
        <v>12000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x14ac:dyDescent="0.2">
      <c r="A60" s="30" t="s">
        <v>65</v>
      </c>
      <c r="B60" s="31">
        <f t="shared" si="5"/>
        <v>3800</v>
      </c>
      <c r="C60" s="31">
        <f t="shared" si="4"/>
        <v>8550</v>
      </c>
      <c r="D60" s="32">
        <f t="shared" si="3"/>
        <v>12350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x14ac:dyDescent="0.2">
      <c r="A61" s="22" t="s">
        <v>66</v>
      </c>
      <c r="B61" s="23">
        <f t="shared" si="5"/>
        <v>3950</v>
      </c>
      <c r="C61" s="23">
        <f t="shared" si="4"/>
        <v>8750</v>
      </c>
      <c r="D61" s="24">
        <f t="shared" si="3"/>
        <v>12700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x14ac:dyDescent="0.2">
      <c r="A62" s="30" t="s">
        <v>67</v>
      </c>
      <c r="B62" s="31">
        <f t="shared" si="5"/>
        <v>4100</v>
      </c>
      <c r="C62" s="31">
        <f t="shared" si="4"/>
        <v>8950</v>
      </c>
      <c r="D62" s="32">
        <f t="shared" si="3"/>
        <v>13050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x14ac:dyDescent="0.2">
      <c r="A63" s="22" t="s">
        <v>68</v>
      </c>
      <c r="B63" s="23">
        <f t="shared" si="5"/>
        <v>4250</v>
      </c>
      <c r="C63" s="23">
        <f t="shared" si="4"/>
        <v>9150</v>
      </c>
      <c r="D63" s="24">
        <f t="shared" si="3"/>
        <v>13400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x14ac:dyDescent="0.2">
      <c r="A64" s="30" t="s">
        <v>69</v>
      </c>
      <c r="B64" s="31">
        <f t="shared" si="5"/>
        <v>4400</v>
      </c>
      <c r="C64" s="31">
        <f t="shared" si="4"/>
        <v>9350</v>
      </c>
      <c r="D64" s="32">
        <f t="shared" si="3"/>
        <v>13750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x14ac:dyDescent="0.2">
      <c r="A65" s="52"/>
      <c r="B65" s="52"/>
      <c r="C65" s="52"/>
      <c r="D65" s="52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x14ac:dyDescent="0.2">
      <c r="A66" s="52"/>
      <c r="B66" s="52"/>
      <c r="C66" s="52"/>
      <c r="D66" s="52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x14ac:dyDescent="0.2">
      <c r="A67" s="52"/>
      <c r="B67" s="52"/>
      <c r="C67" s="52"/>
      <c r="D67" s="52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x14ac:dyDescent="0.2">
      <c r="A68" s="52"/>
      <c r="B68" s="52"/>
      <c r="C68" s="52"/>
      <c r="D68" s="5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x14ac:dyDescent="0.2">
      <c r="A69" s="52"/>
      <c r="B69" s="52"/>
      <c r="C69" s="52"/>
      <c r="D69" s="52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x14ac:dyDescent="0.2">
      <c r="A70" s="52"/>
      <c r="B70" s="52"/>
      <c r="C70" s="52"/>
      <c r="D70" s="5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x14ac:dyDescent="0.2">
      <c r="A71" s="100" t="s">
        <v>71</v>
      </c>
      <c r="B71" s="101"/>
      <c r="C71" s="101"/>
      <c r="D71" s="102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x14ac:dyDescent="0.2">
      <c r="A72" s="15" t="s">
        <v>51</v>
      </c>
      <c r="B72" s="16" t="s">
        <v>20</v>
      </c>
      <c r="C72" s="16" t="s">
        <v>4</v>
      </c>
      <c r="D72" s="15" t="s">
        <v>5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x14ac:dyDescent="0.2">
      <c r="A73" s="35" t="s">
        <v>23</v>
      </c>
      <c r="B73" s="36">
        <v>200</v>
      </c>
      <c r="C73" s="36">
        <v>4100</v>
      </c>
      <c r="D73" s="37">
        <f t="shared" ref="D73:D101" si="6">B73+C73</f>
        <v>4300</v>
      </c>
      <c r="E73" s="4"/>
      <c r="F73" s="4"/>
      <c r="G73" s="1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x14ac:dyDescent="0.2">
      <c r="A74" s="22" t="s">
        <v>52</v>
      </c>
      <c r="B74" s="23">
        <v>350</v>
      </c>
      <c r="C74" s="23">
        <f t="shared" ref="C74:C101" si="7">C73+200</f>
        <v>4300</v>
      </c>
      <c r="D74" s="24">
        <f t="shared" si="6"/>
        <v>4650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x14ac:dyDescent="0.2">
      <c r="A75" s="35" t="s">
        <v>24</v>
      </c>
      <c r="B75" s="36">
        <f>B38</f>
        <v>500</v>
      </c>
      <c r="C75" s="36">
        <f t="shared" si="7"/>
        <v>4500</v>
      </c>
      <c r="D75" s="37">
        <f t="shared" si="6"/>
        <v>5000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x14ac:dyDescent="0.2">
      <c r="A76" s="22" t="s">
        <v>53</v>
      </c>
      <c r="B76" s="23">
        <f t="shared" ref="B76:B101" si="8">B75+150</f>
        <v>650</v>
      </c>
      <c r="C76" s="23">
        <f t="shared" si="7"/>
        <v>4700</v>
      </c>
      <c r="D76" s="24">
        <f t="shared" si="6"/>
        <v>5350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x14ac:dyDescent="0.2">
      <c r="A77" s="35" t="s">
        <v>25</v>
      </c>
      <c r="B77" s="36">
        <f t="shared" si="8"/>
        <v>800</v>
      </c>
      <c r="C77" s="36">
        <f t="shared" si="7"/>
        <v>4900</v>
      </c>
      <c r="D77" s="37">
        <f t="shared" si="6"/>
        <v>5700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x14ac:dyDescent="0.2">
      <c r="A78" s="22" t="s">
        <v>54</v>
      </c>
      <c r="B78" s="23">
        <f t="shared" si="8"/>
        <v>950</v>
      </c>
      <c r="C78" s="23">
        <f t="shared" si="7"/>
        <v>5100</v>
      </c>
      <c r="D78" s="24">
        <f t="shared" si="6"/>
        <v>6050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x14ac:dyDescent="0.2">
      <c r="A79" s="35" t="s">
        <v>26</v>
      </c>
      <c r="B79" s="36">
        <f t="shared" si="8"/>
        <v>1100</v>
      </c>
      <c r="C79" s="36">
        <f t="shared" si="7"/>
        <v>5300</v>
      </c>
      <c r="D79" s="37">
        <f t="shared" si="6"/>
        <v>6400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x14ac:dyDescent="0.2">
      <c r="A80" s="22" t="s">
        <v>55</v>
      </c>
      <c r="B80" s="23">
        <f t="shared" si="8"/>
        <v>1250</v>
      </c>
      <c r="C80" s="23">
        <f t="shared" si="7"/>
        <v>5500</v>
      </c>
      <c r="D80" s="24">
        <f t="shared" si="6"/>
        <v>6750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x14ac:dyDescent="0.2">
      <c r="A81" s="35" t="s">
        <v>7</v>
      </c>
      <c r="B81" s="36">
        <f t="shared" si="8"/>
        <v>1400</v>
      </c>
      <c r="C81" s="36">
        <f t="shared" si="7"/>
        <v>5700</v>
      </c>
      <c r="D81" s="37">
        <f t="shared" si="6"/>
        <v>7100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x14ac:dyDescent="0.2">
      <c r="A82" s="22" t="s">
        <v>56</v>
      </c>
      <c r="B82" s="23">
        <f t="shared" si="8"/>
        <v>1550</v>
      </c>
      <c r="C82" s="23">
        <f t="shared" si="7"/>
        <v>5900</v>
      </c>
      <c r="D82" s="24">
        <f t="shared" si="6"/>
        <v>7450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x14ac:dyDescent="0.2">
      <c r="A83" s="35" t="s">
        <v>9</v>
      </c>
      <c r="B83" s="36">
        <f t="shared" si="8"/>
        <v>1700</v>
      </c>
      <c r="C83" s="36">
        <f t="shared" si="7"/>
        <v>6100</v>
      </c>
      <c r="D83" s="37">
        <f t="shared" si="6"/>
        <v>7800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x14ac:dyDescent="0.2">
      <c r="A84" s="22" t="s">
        <v>28</v>
      </c>
      <c r="B84" s="23">
        <f t="shared" si="8"/>
        <v>1850</v>
      </c>
      <c r="C84" s="23">
        <f t="shared" si="7"/>
        <v>6300</v>
      </c>
      <c r="D84" s="24">
        <f t="shared" si="6"/>
        <v>8150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x14ac:dyDescent="0.2">
      <c r="A85" s="35" t="s">
        <v>11</v>
      </c>
      <c r="B85" s="36">
        <f t="shared" si="8"/>
        <v>2000</v>
      </c>
      <c r="C85" s="36">
        <f t="shared" si="7"/>
        <v>6500</v>
      </c>
      <c r="D85" s="37">
        <f t="shared" si="6"/>
        <v>8500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x14ac:dyDescent="0.2">
      <c r="A86" s="22" t="s">
        <v>57</v>
      </c>
      <c r="B86" s="23">
        <f t="shared" si="8"/>
        <v>2150</v>
      </c>
      <c r="C86" s="23">
        <f t="shared" si="7"/>
        <v>6700</v>
      </c>
      <c r="D86" s="24">
        <f t="shared" si="6"/>
        <v>8850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x14ac:dyDescent="0.2">
      <c r="A87" s="35" t="s">
        <v>13</v>
      </c>
      <c r="B87" s="36">
        <f t="shared" si="8"/>
        <v>2300</v>
      </c>
      <c r="C87" s="36">
        <f t="shared" si="7"/>
        <v>6900</v>
      </c>
      <c r="D87" s="37">
        <f t="shared" si="6"/>
        <v>9200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x14ac:dyDescent="0.2">
      <c r="A88" s="22" t="s">
        <v>58</v>
      </c>
      <c r="B88" s="23">
        <f t="shared" si="8"/>
        <v>2450</v>
      </c>
      <c r="C88" s="23">
        <f t="shared" si="7"/>
        <v>7100</v>
      </c>
      <c r="D88" s="24">
        <f t="shared" si="6"/>
        <v>9550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x14ac:dyDescent="0.2">
      <c r="A89" s="35" t="s">
        <v>15</v>
      </c>
      <c r="B89" s="36">
        <f t="shared" si="8"/>
        <v>2600</v>
      </c>
      <c r="C89" s="36">
        <f t="shared" si="7"/>
        <v>7300</v>
      </c>
      <c r="D89" s="37">
        <f t="shared" si="6"/>
        <v>9900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x14ac:dyDescent="0.2">
      <c r="A90" s="22" t="s">
        <v>59</v>
      </c>
      <c r="B90" s="23">
        <f t="shared" si="8"/>
        <v>2750</v>
      </c>
      <c r="C90" s="23">
        <f t="shared" si="7"/>
        <v>7500</v>
      </c>
      <c r="D90" s="24">
        <f t="shared" si="6"/>
        <v>10250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8.75" x14ac:dyDescent="0.3">
      <c r="A91" s="69" t="s">
        <v>17</v>
      </c>
      <c r="B91" s="70">
        <f t="shared" si="8"/>
        <v>2900</v>
      </c>
      <c r="C91" s="70">
        <f t="shared" si="7"/>
        <v>7700</v>
      </c>
      <c r="D91" s="71">
        <f t="shared" si="6"/>
        <v>10600</v>
      </c>
      <c r="E91" s="4"/>
      <c r="F91" s="13">
        <v>400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x14ac:dyDescent="0.2">
      <c r="A92" s="22" t="s">
        <v>60</v>
      </c>
      <c r="B92" s="23">
        <f t="shared" si="8"/>
        <v>3050</v>
      </c>
      <c r="C92" s="23">
        <f t="shared" si="7"/>
        <v>7900</v>
      </c>
      <c r="D92" s="24">
        <f t="shared" si="6"/>
        <v>10950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x14ac:dyDescent="0.2">
      <c r="A93" s="35" t="s">
        <v>61</v>
      </c>
      <c r="B93" s="36">
        <f t="shared" si="8"/>
        <v>3200</v>
      </c>
      <c r="C93" s="36">
        <f t="shared" si="7"/>
        <v>8100</v>
      </c>
      <c r="D93" s="37">
        <f t="shared" si="6"/>
        <v>11300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x14ac:dyDescent="0.2">
      <c r="A94" s="22" t="s">
        <v>62</v>
      </c>
      <c r="B94" s="23">
        <f t="shared" si="8"/>
        <v>3350</v>
      </c>
      <c r="C94" s="23">
        <f t="shared" si="7"/>
        <v>8300</v>
      </c>
      <c r="D94" s="24">
        <f t="shared" si="6"/>
        <v>11650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x14ac:dyDescent="0.2">
      <c r="A95" s="35" t="s">
        <v>63</v>
      </c>
      <c r="B95" s="36">
        <f t="shared" si="8"/>
        <v>3500</v>
      </c>
      <c r="C95" s="36">
        <f t="shared" si="7"/>
        <v>8500</v>
      </c>
      <c r="D95" s="37">
        <f t="shared" si="6"/>
        <v>12000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x14ac:dyDescent="0.2">
      <c r="A96" s="22" t="s">
        <v>64</v>
      </c>
      <c r="B96" s="23">
        <f t="shared" si="8"/>
        <v>3650</v>
      </c>
      <c r="C96" s="23">
        <f t="shared" si="7"/>
        <v>8700</v>
      </c>
      <c r="D96" s="24">
        <f t="shared" si="6"/>
        <v>12350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x14ac:dyDescent="0.2">
      <c r="A97" s="35" t="s">
        <v>65</v>
      </c>
      <c r="B97" s="36">
        <f t="shared" si="8"/>
        <v>3800</v>
      </c>
      <c r="C97" s="36">
        <f t="shared" si="7"/>
        <v>8900</v>
      </c>
      <c r="D97" s="37">
        <f t="shared" si="6"/>
        <v>12700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x14ac:dyDescent="0.2">
      <c r="A98" s="22" t="s">
        <v>66</v>
      </c>
      <c r="B98" s="23">
        <f t="shared" si="8"/>
        <v>3950</v>
      </c>
      <c r="C98" s="23">
        <f t="shared" si="7"/>
        <v>9100</v>
      </c>
      <c r="D98" s="24">
        <f t="shared" si="6"/>
        <v>13050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x14ac:dyDescent="0.2">
      <c r="A99" s="35" t="s">
        <v>67</v>
      </c>
      <c r="B99" s="36">
        <f t="shared" si="8"/>
        <v>4100</v>
      </c>
      <c r="C99" s="36">
        <f t="shared" si="7"/>
        <v>9300</v>
      </c>
      <c r="D99" s="37">
        <f t="shared" si="6"/>
        <v>13400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x14ac:dyDescent="0.2">
      <c r="A100" s="22" t="s">
        <v>68</v>
      </c>
      <c r="B100" s="23">
        <f t="shared" si="8"/>
        <v>4250</v>
      </c>
      <c r="C100" s="23">
        <f t="shared" si="7"/>
        <v>9500</v>
      </c>
      <c r="D100" s="24">
        <f t="shared" si="6"/>
        <v>13750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x14ac:dyDescent="0.2">
      <c r="A101" s="35" t="s">
        <v>69</v>
      </c>
      <c r="B101" s="36">
        <f t="shared" si="8"/>
        <v>4400</v>
      </c>
      <c r="C101" s="36">
        <f t="shared" si="7"/>
        <v>9700</v>
      </c>
      <c r="D101" s="37">
        <f t="shared" si="6"/>
        <v>14100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x14ac:dyDescent="0.2">
      <c r="A102" s="52"/>
      <c r="B102" s="72"/>
      <c r="C102" s="52"/>
      <c r="D102" s="5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x14ac:dyDescent="0.2">
      <c r="A103" s="52"/>
      <c r="B103" s="52"/>
      <c r="C103" s="52"/>
      <c r="D103" s="5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x14ac:dyDescent="0.2">
      <c r="A104" s="106" t="s">
        <v>34</v>
      </c>
      <c r="B104" s="104"/>
      <c r="C104" s="104"/>
      <c r="D104" s="10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x14ac:dyDescent="0.2">
      <c r="A105" s="15" t="s">
        <v>51</v>
      </c>
      <c r="B105" s="16" t="s">
        <v>20</v>
      </c>
      <c r="C105" s="16" t="s">
        <v>4</v>
      </c>
      <c r="D105" s="15" t="s">
        <v>5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x14ac:dyDescent="0.2">
      <c r="A106" s="45" t="s">
        <v>23</v>
      </c>
      <c r="B106" s="46">
        <f>B73</f>
        <v>200</v>
      </c>
      <c r="C106" s="46">
        <v>2800</v>
      </c>
      <c r="D106" s="47">
        <f t="shared" ref="D106:D134" si="9">B106+C106</f>
        <v>3000</v>
      </c>
      <c r="E106" s="4"/>
      <c r="F106" s="4"/>
      <c r="G106" s="4"/>
      <c r="H106" s="4"/>
      <c r="I106" s="1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x14ac:dyDescent="0.2">
      <c r="A107" s="22" t="s">
        <v>52</v>
      </c>
      <c r="B107" s="23">
        <f t="shared" ref="B107:B134" si="10">B106+150</f>
        <v>350</v>
      </c>
      <c r="C107" s="23">
        <f t="shared" ref="C107:C134" si="11">C106+100</f>
        <v>2900</v>
      </c>
      <c r="D107" s="24">
        <f t="shared" si="9"/>
        <v>3250</v>
      </c>
      <c r="E107" s="4"/>
      <c r="F107" s="4"/>
      <c r="G107" s="4"/>
      <c r="H107" s="4"/>
      <c r="I107" s="1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x14ac:dyDescent="0.2">
      <c r="A108" s="45" t="s">
        <v>24</v>
      </c>
      <c r="B108" s="46">
        <f t="shared" si="10"/>
        <v>500</v>
      </c>
      <c r="C108" s="46">
        <f t="shared" si="11"/>
        <v>3000</v>
      </c>
      <c r="D108" s="47">
        <f t="shared" si="9"/>
        <v>3500</v>
      </c>
      <c r="E108" s="4"/>
      <c r="F108" s="4"/>
      <c r="G108" s="4"/>
      <c r="H108" s="4"/>
      <c r="I108" s="1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x14ac:dyDescent="0.2">
      <c r="A109" s="22" t="s">
        <v>53</v>
      </c>
      <c r="B109" s="23">
        <f t="shared" si="10"/>
        <v>650</v>
      </c>
      <c r="C109" s="23">
        <f t="shared" si="11"/>
        <v>3100</v>
      </c>
      <c r="D109" s="24">
        <f t="shared" si="9"/>
        <v>3750</v>
      </c>
      <c r="E109" s="4"/>
      <c r="F109" s="4"/>
      <c r="G109" s="4"/>
      <c r="H109" s="4"/>
      <c r="I109" s="1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x14ac:dyDescent="0.2">
      <c r="A110" s="45" t="s">
        <v>25</v>
      </c>
      <c r="B110" s="46">
        <f t="shared" si="10"/>
        <v>800</v>
      </c>
      <c r="C110" s="46">
        <f t="shared" si="11"/>
        <v>3200</v>
      </c>
      <c r="D110" s="47">
        <f t="shared" si="9"/>
        <v>4000</v>
      </c>
      <c r="E110" s="4"/>
      <c r="F110" s="4"/>
      <c r="G110" s="4"/>
      <c r="H110" s="4"/>
      <c r="I110" s="1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x14ac:dyDescent="0.2">
      <c r="A111" s="22" t="s">
        <v>54</v>
      </c>
      <c r="B111" s="23">
        <f t="shared" si="10"/>
        <v>950</v>
      </c>
      <c r="C111" s="23">
        <f t="shared" si="11"/>
        <v>3300</v>
      </c>
      <c r="D111" s="24">
        <f t="shared" si="9"/>
        <v>4250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x14ac:dyDescent="0.2">
      <c r="A112" s="45" t="s">
        <v>26</v>
      </c>
      <c r="B112" s="46">
        <f t="shared" si="10"/>
        <v>1100</v>
      </c>
      <c r="C112" s="46">
        <f t="shared" si="11"/>
        <v>3400</v>
      </c>
      <c r="D112" s="47">
        <f t="shared" si="9"/>
        <v>4500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x14ac:dyDescent="0.2">
      <c r="A113" s="22" t="s">
        <v>55</v>
      </c>
      <c r="B113" s="23">
        <f t="shared" si="10"/>
        <v>1250</v>
      </c>
      <c r="C113" s="23">
        <f t="shared" si="11"/>
        <v>3500</v>
      </c>
      <c r="D113" s="24">
        <f t="shared" si="9"/>
        <v>4750</v>
      </c>
      <c r="E113" s="4"/>
      <c r="F113" s="4"/>
      <c r="G113" s="4"/>
      <c r="H113" s="1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x14ac:dyDescent="0.2">
      <c r="A114" s="45" t="s">
        <v>7</v>
      </c>
      <c r="B114" s="46">
        <f t="shared" si="10"/>
        <v>1400</v>
      </c>
      <c r="C114" s="46">
        <f t="shared" si="11"/>
        <v>3600</v>
      </c>
      <c r="D114" s="47">
        <f t="shared" si="9"/>
        <v>5000</v>
      </c>
      <c r="E114" s="4"/>
      <c r="F114" s="4"/>
      <c r="G114" s="4"/>
      <c r="H114" s="1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x14ac:dyDescent="0.2">
      <c r="A115" s="22" t="s">
        <v>56</v>
      </c>
      <c r="B115" s="23">
        <f t="shared" si="10"/>
        <v>1550</v>
      </c>
      <c r="C115" s="23">
        <f t="shared" si="11"/>
        <v>3700</v>
      </c>
      <c r="D115" s="24">
        <f t="shared" si="9"/>
        <v>5250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x14ac:dyDescent="0.2">
      <c r="A116" s="45" t="s">
        <v>9</v>
      </c>
      <c r="B116" s="46">
        <f t="shared" si="10"/>
        <v>1700</v>
      </c>
      <c r="C116" s="46">
        <f t="shared" si="11"/>
        <v>3800</v>
      </c>
      <c r="D116" s="47">
        <f t="shared" si="9"/>
        <v>5500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x14ac:dyDescent="0.2">
      <c r="A117" s="22" t="s">
        <v>28</v>
      </c>
      <c r="B117" s="23">
        <f t="shared" si="10"/>
        <v>1850</v>
      </c>
      <c r="C117" s="23">
        <f t="shared" si="11"/>
        <v>3900</v>
      </c>
      <c r="D117" s="24">
        <f t="shared" si="9"/>
        <v>5750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x14ac:dyDescent="0.2">
      <c r="A118" s="45" t="s">
        <v>11</v>
      </c>
      <c r="B118" s="46">
        <f t="shared" si="10"/>
        <v>2000</v>
      </c>
      <c r="C118" s="46">
        <f t="shared" si="11"/>
        <v>4000</v>
      </c>
      <c r="D118" s="47">
        <f t="shared" si="9"/>
        <v>6000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x14ac:dyDescent="0.2">
      <c r="A119" s="22" t="s">
        <v>57</v>
      </c>
      <c r="B119" s="23">
        <f t="shared" si="10"/>
        <v>2150</v>
      </c>
      <c r="C119" s="23">
        <f t="shared" si="11"/>
        <v>4100</v>
      </c>
      <c r="D119" s="24">
        <f t="shared" si="9"/>
        <v>6250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x14ac:dyDescent="0.2">
      <c r="A120" s="45" t="s">
        <v>13</v>
      </c>
      <c r="B120" s="46">
        <f t="shared" si="10"/>
        <v>2300</v>
      </c>
      <c r="C120" s="46">
        <f t="shared" si="11"/>
        <v>4200</v>
      </c>
      <c r="D120" s="47">
        <f t="shared" si="9"/>
        <v>6500</v>
      </c>
      <c r="E120" s="4"/>
      <c r="F120" s="4"/>
      <c r="G120" s="1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x14ac:dyDescent="0.2">
      <c r="A121" s="22" t="s">
        <v>58</v>
      </c>
      <c r="B121" s="23">
        <f t="shared" si="10"/>
        <v>2450</v>
      </c>
      <c r="C121" s="23">
        <f t="shared" si="11"/>
        <v>4300</v>
      </c>
      <c r="D121" s="24">
        <f t="shared" si="9"/>
        <v>6750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x14ac:dyDescent="0.2">
      <c r="A122" s="45" t="s">
        <v>15</v>
      </c>
      <c r="B122" s="46">
        <f t="shared" si="10"/>
        <v>2600</v>
      </c>
      <c r="C122" s="46">
        <f t="shared" si="11"/>
        <v>4400</v>
      </c>
      <c r="D122" s="47">
        <f t="shared" si="9"/>
        <v>7000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x14ac:dyDescent="0.2">
      <c r="A123" s="22" t="s">
        <v>59</v>
      </c>
      <c r="B123" s="23">
        <f t="shared" si="10"/>
        <v>2750</v>
      </c>
      <c r="C123" s="23">
        <f t="shared" si="11"/>
        <v>4500</v>
      </c>
      <c r="D123" s="24">
        <f t="shared" si="9"/>
        <v>7250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8.75" x14ac:dyDescent="0.3">
      <c r="A124" s="73" t="s">
        <v>17</v>
      </c>
      <c r="B124" s="74">
        <f t="shared" si="10"/>
        <v>2900</v>
      </c>
      <c r="C124" s="74">
        <f t="shared" si="11"/>
        <v>4600</v>
      </c>
      <c r="D124" s="75">
        <f t="shared" si="9"/>
        <v>7500</v>
      </c>
      <c r="E124" s="76"/>
      <c r="F124" s="77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</row>
    <row r="125" spans="1:25" ht="12.75" x14ac:dyDescent="0.2">
      <c r="A125" s="22" t="s">
        <v>60</v>
      </c>
      <c r="B125" s="23">
        <f t="shared" si="10"/>
        <v>3050</v>
      </c>
      <c r="C125" s="23">
        <f t="shared" si="11"/>
        <v>4700</v>
      </c>
      <c r="D125" s="24">
        <f t="shared" si="9"/>
        <v>7750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x14ac:dyDescent="0.2">
      <c r="A126" s="45" t="s">
        <v>61</v>
      </c>
      <c r="B126" s="46">
        <f t="shared" si="10"/>
        <v>3200</v>
      </c>
      <c r="C126" s="46">
        <f t="shared" si="11"/>
        <v>4800</v>
      </c>
      <c r="D126" s="47">
        <f t="shared" si="9"/>
        <v>8000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x14ac:dyDescent="0.2">
      <c r="A127" s="22" t="s">
        <v>62</v>
      </c>
      <c r="B127" s="23">
        <f t="shared" si="10"/>
        <v>3350</v>
      </c>
      <c r="C127" s="23">
        <f t="shared" si="11"/>
        <v>4900</v>
      </c>
      <c r="D127" s="24">
        <f t="shared" si="9"/>
        <v>8250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x14ac:dyDescent="0.2">
      <c r="A128" s="45" t="s">
        <v>63</v>
      </c>
      <c r="B128" s="46">
        <f t="shared" si="10"/>
        <v>3500</v>
      </c>
      <c r="C128" s="46">
        <f t="shared" si="11"/>
        <v>5000</v>
      </c>
      <c r="D128" s="47">
        <f t="shared" si="9"/>
        <v>8500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x14ac:dyDescent="0.2">
      <c r="A129" s="22" t="s">
        <v>64</v>
      </c>
      <c r="B129" s="23">
        <f t="shared" si="10"/>
        <v>3650</v>
      </c>
      <c r="C129" s="23">
        <f t="shared" si="11"/>
        <v>5100</v>
      </c>
      <c r="D129" s="24">
        <f t="shared" si="9"/>
        <v>8750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x14ac:dyDescent="0.2">
      <c r="A130" s="45" t="s">
        <v>65</v>
      </c>
      <c r="B130" s="46">
        <f t="shared" si="10"/>
        <v>3800</v>
      </c>
      <c r="C130" s="46">
        <f t="shared" si="11"/>
        <v>5200</v>
      </c>
      <c r="D130" s="47">
        <f t="shared" si="9"/>
        <v>9000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x14ac:dyDescent="0.2">
      <c r="A131" s="22" t="s">
        <v>66</v>
      </c>
      <c r="B131" s="23">
        <f t="shared" si="10"/>
        <v>3950</v>
      </c>
      <c r="C131" s="23">
        <f t="shared" si="11"/>
        <v>5300</v>
      </c>
      <c r="D131" s="24">
        <f t="shared" si="9"/>
        <v>9250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x14ac:dyDescent="0.2">
      <c r="A132" s="45" t="s">
        <v>67</v>
      </c>
      <c r="B132" s="46">
        <f t="shared" si="10"/>
        <v>4100</v>
      </c>
      <c r="C132" s="46">
        <f t="shared" si="11"/>
        <v>5400</v>
      </c>
      <c r="D132" s="47">
        <f t="shared" si="9"/>
        <v>9500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x14ac:dyDescent="0.2">
      <c r="A133" s="22" t="s">
        <v>68</v>
      </c>
      <c r="B133" s="23">
        <f t="shared" si="10"/>
        <v>4250</v>
      </c>
      <c r="C133" s="23">
        <f t="shared" si="11"/>
        <v>5500</v>
      </c>
      <c r="D133" s="24">
        <f t="shared" si="9"/>
        <v>9750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x14ac:dyDescent="0.2">
      <c r="A134" s="45" t="s">
        <v>69</v>
      </c>
      <c r="B134" s="46">
        <f t="shared" si="10"/>
        <v>4400</v>
      </c>
      <c r="C134" s="46">
        <f t="shared" si="11"/>
        <v>5600</v>
      </c>
      <c r="D134" s="47">
        <f t="shared" si="9"/>
        <v>10000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x14ac:dyDescent="0.2">
      <c r="A135" s="2"/>
      <c r="B135" s="3"/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x14ac:dyDescent="0.2">
      <c r="A136" s="2"/>
      <c r="B136" s="3"/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x14ac:dyDescent="0.2">
      <c r="A137" s="2"/>
      <c r="B137" s="3"/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x14ac:dyDescent="0.2">
      <c r="A138" s="2"/>
      <c r="B138" s="3"/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x14ac:dyDescent="0.2">
      <c r="A139" s="2"/>
      <c r="B139" s="3"/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x14ac:dyDescent="0.2">
      <c r="A140" s="2"/>
      <c r="B140" s="3"/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x14ac:dyDescent="0.2">
      <c r="A141" s="2"/>
      <c r="B141" s="3"/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x14ac:dyDescent="0.2">
      <c r="A142" s="2"/>
      <c r="B142" s="3"/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x14ac:dyDescent="0.2">
      <c r="A143" s="2"/>
      <c r="B143" s="3"/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x14ac:dyDescent="0.2">
      <c r="A144" s="2"/>
      <c r="B144" s="3"/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x14ac:dyDescent="0.2">
      <c r="A145" s="2"/>
      <c r="B145" s="3"/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x14ac:dyDescent="0.2">
      <c r="A146" s="2"/>
      <c r="B146" s="3"/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x14ac:dyDescent="0.2">
      <c r="A147" s="2"/>
      <c r="B147" s="3"/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x14ac:dyDescent="0.2">
      <c r="A148" s="2"/>
      <c r="B148" s="3"/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x14ac:dyDescent="0.2">
      <c r="A149" s="2"/>
      <c r="B149" s="3"/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x14ac:dyDescent="0.2">
      <c r="A150" s="2"/>
      <c r="B150" s="3"/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x14ac:dyDescent="0.2">
      <c r="A151" s="2"/>
      <c r="B151" s="3"/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x14ac:dyDescent="0.2">
      <c r="A152" s="2"/>
      <c r="B152" s="3"/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x14ac:dyDescent="0.2">
      <c r="A153" s="2"/>
      <c r="B153" s="3"/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x14ac:dyDescent="0.2">
      <c r="A154" s="2"/>
      <c r="B154" s="3"/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x14ac:dyDescent="0.2">
      <c r="A155" s="2"/>
      <c r="B155" s="3"/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x14ac:dyDescent="0.2">
      <c r="A156" s="2"/>
      <c r="B156" s="3"/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x14ac:dyDescent="0.2">
      <c r="A157" s="2"/>
      <c r="B157" s="3"/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x14ac:dyDescent="0.2">
      <c r="A158" s="2"/>
      <c r="B158" s="3"/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x14ac:dyDescent="0.2">
      <c r="A159" s="2"/>
      <c r="B159" s="3"/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x14ac:dyDescent="0.2">
      <c r="A160" s="2"/>
      <c r="B160" s="3"/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x14ac:dyDescent="0.2">
      <c r="A161" s="2"/>
      <c r="B161" s="3"/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x14ac:dyDescent="0.2">
      <c r="A162" s="2"/>
      <c r="B162" s="3"/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x14ac:dyDescent="0.2">
      <c r="A163" s="2"/>
      <c r="B163" s="3"/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x14ac:dyDescent="0.2">
      <c r="A164" s="2"/>
      <c r="B164" s="3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x14ac:dyDescent="0.2">
      <c r="A165" s="2"/>
      <c r="B165" s="3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x14ac:dyDescent="0.2">
      <c r="A166" s="2"/>
      <c r="B166" s="3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x14ac:dyDescent="0.2">
      <c r="A167" s="2"/>
      <c r="B167" s="3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x14ac:dyDescent="0.2">
      <c r="A168" s="2"/>
      <c r="B168" s="3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x14ac:dyDescent="0.2">
      <c r="A169" s="2"/>
      <c r="B169" s="3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x14ac:dyDescent="0.2">
      <c r="A170" s="2"/>
      <c r="B170" s="3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x14ac:dyDescent="0.2">
      <c r="A171" s="2"/>
      <c r="B171" s="3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x14ac:dyDescent="0.2">
      <c r="A172" s="2"/>
      <c r="B172" s="3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x14ac:dyDescent="0.2">
      <c r="A173" s="2"/>
      <c r="B173" s="3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x14ac:dyDescent="0.2">
      <c r="A174" s="2"/>
      <c r="B174" s="3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x14ac:dyDescent="0.2">
      <c r="A175" s="2"/>
      <c r="B175" s="3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x14ac:dyDescent="0.2">
      <c r="A176" s="2"/>
      <c r="B176" s="3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x14ac:dyDescent="0.2">
      <c r="A177" s="2"/>
      <c r="B177" s="3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x14ac:dyDescent="0.2">
      <c r="A178" s="2"/>
      <c r="B178" s="3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x14ac:dyDescent="0.2">
      <c r="A179" s="2"/>
      <c r="B179" s="3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x14ac:dyDescent="0.2">
      <c r="A180" s="2"/>
      <c r="B180" s="3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x14ac:dyDescent="0.2">
      <c r="A181" s="2"/>
      <c r="B181" s="3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x14ac:dyDescent="0.2">
      <c r="A182" s="2"/>
      <c r="B182" s="3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x14ac:dyDescent="0.2">
      <c r="A183" s="2"/>
      <c r="B183" s="3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x14ac:dyDescent="0.2">
      <c r="A184" s="2"/>
      <c r="B184" s="3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x14ac:dyDescent="0.2">
      <c r="A185" s="2"/>
      <c r="B185" s="3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x14ac:dyDescent="0.2">
      <c r="A186" s="2"/>
      <c r="B186" s="3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x14ac:dyDescent="0.2">
      <c r="A187" s="2"/>
      <c r="B187" s="3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x14ac:dyDescent="0.2">
      <c r="A188" s="2"/>
      <c r="B188" s="3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x14ac:dyDescent="0.2">
      <c r="A189" s="2"/>
      <c r="B189" s="3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x14ac:dyDescent="0.2">
      <c r="A190" s="2"/>
      <c r="B190" s="3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x14ac:dyDescent="0.2">
      <c r="A191" s="2"/>
      <c r="B191" s="3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x14ac:dyDescent="0.2">
      <c r="A192" s="2"/>
      <c r="B192" s="3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x14ac:dyDescent="0.2">
      <c r="A193" s="2"/>
      <c r="B193" s="3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x14ac:dyDescent="0.2">
      <c r="A194" s="2"/>
      <c r="B194" s="3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x14ac:dyDescent="0.2">
      <c r="A195" s="2"/>
      <c r="B195" s="3"/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x14ac:dyDescent="0.2">
      <c r="A196" s="2"/>
      <c r="B196" s="3"/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x14ac:dyDescent="0.2">
      <c r="A197" s="2"/>
      <c r="B197" s="3"/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x14ac:dyDescent="0.2">
      <c r="A198" s="2"/>
      <c r="B198" s="3"/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x14ac:dyDescent="0.2">
      <c r="A199" s="2"/>
      <c r="B199" s="3"/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x14ac:dyDescent="0.2">
      <c r="A200" s="2"/>
      <c r="B200" s="3"/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x14ac:dyDescent="0.2">
      <c r="A201" s="2"/>
      <c r="B201" s="3"/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x14ac:dyDescent="0.2">
      <c r="A202" s="2"/>
      <c r="B202" s="3"/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x14ac:dyDescent="0.2">
      <c r="A203" s="2"/>
      <c r="B203" s="3"/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x14ac:dyDescent="0.2">
      <c r="A204" s="2"/>
      <c r="B204" s="3"/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x14ac:dyDescent="0.2">
      <c r="A205" s="2"/>
      <c r="B205" s="3"/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x14ac:dyDescent="0.2">
      <c r="A206" s="2"/>
      <c r="B206" s="3"/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x14ac:dyDescent="0.2">
      <c r="A207" s="2"/>
      <c r="B207" s="3"/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x14ac:dyDescent="0.2">
      <c r="A208" s="2"/>
      <c r="B208" s="3"/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x14ac:dyDescent="0.2">
      <c r="A209" s="2"/>
      <c r="B209" s="3"/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x14ac:dyDescent="0.2">
      <c r="A210" s="2"/>
      <c r="B210" s="3"/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x14ac:dyDescent="0.2">
      <c r="A211" s="2"/>
      <c r="B211" s="3"/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x14ac:dyDescent="0.2">
      <c r="A212" s="2"/>
      <c r="B212" s="3"/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x14ac:dyDescent="0.2">
      <c r="A213" s="2"/>
      <c r="B213" s="3"/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x14ac:dyDescent="0.2">
      <c r="A214" s="2"/>
      <c r="B214" s="3"/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x14ac:dyDescent="0.2">
      <c r="A215" s="2"/>
      <c r="B215" s="3"/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x14ac:dyDescent="0.2">
      <c r="A216" s="2"/>
      <c r="B216" s="3"/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x14ac:dyDescent="0.2">
      <c r="A217" s="2"/>
      <c r="B217" s="3"/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x14ac:dyDescent="0.2">
      <c r="A218" s="2"/>
      <c r="B218" s="3"/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x14ac:dyDescent="0.2">
      <c r="A219" s="2"/>
      <c r="B219" s="3"/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x14ac:dyDescent="0.2">
      <c r="A220" s="2"/>
      <c r="B220" s="3"/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x14ac:dyDescent="0.2">
      <c r="A221" s="2"/>
      <c r="B221" s="3"/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x14ac:dyDescent="0.2">
      <c r="A222" s="2"/>
      <c r="B222" s="3"/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x14ac:dyDescent="0.2">
      <c r="A223" s="2"/>
      <c r="B223" s="3"/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x14ac:dyDescent="0.2">
      <c r="A224" s="2"/>
      <c r="B224" s="3"/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x14ac:dyDescent="0.2">
      <c r="A225" s="2"/>
      <c r="B225" s="3"/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x14ac:dyDescent="0.2">
      <c r="A226" s="2"/>
      <c r="B226" s="3"/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x14ac:dyDescent="0.2">
      <c r="A227" s="2"/>
      <c r="B227" s="3"/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x14ac:dyDescent="0.2">
      <c r="A228" s="2"/>
      <c r="B228" s="3"/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x14ac:dyDescent="0.2">
      <c r="A229" s="2"/>
      <c r="B229" s="3"/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x14ac:dyDescent="0.2">
      <c r="A230" s="2"/>
      <c r="B230" s="3"/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x14ac:dyDescent="0.2">
      <c r="A231" s="2"/>
      <c r="B231" s="3"/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x14ac:dyDescent="0.2">
      <c r="A232" s="2"/>
      <c r="B232" s="3"/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x14ac:dyDescent="0.2">
      <c r="A233" s="2"/>
      <c r="B233" s="3"/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x14ac:dyDescent="0.2">
      <c r="A234" s="2"/>
      <c r="B234" s="3"/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x14ac:dyDescent="0.2">
      <c r="A235" s="2"/>
      <c r="B235" s="3"/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x14ac:dyDescent="0.2">
      <c r="A236" s="2"/>
      <c r="B236" s="3"/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x14ac:dyDescent="0.2">
      <c r="A237" s="2"/>
      <c r="B237" s="3"/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x14ac:dyDescent="0.2">
      <c r="A238" s="2"/>
      <c r="B238" s="3"/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x14ac:dyDescent="0.2">
      <c r="A239" s="2"/>
      <c r="B239" s="3"/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x14ac:dyDescent="0.2">
      <c r="A240" s="2"/>
      <c r="B240" s="3"/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x14ac:dyDescent="0.2">
      <c r="A241" s="2"/>
      <c r="B241" s="3"/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x14ac:dyDescent="0.2">
      <c r="A242" s="2"/>
      <c r="B242" s="3"/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x14ac:dyDescent="0.2">
      <c r="A243" s="2"/>
      <c r="B243" s="3"/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x14ac:dyDescent="0.2">
      <c r="A244" s="2"/>
      <c r="B244" s="3"/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x14ac:dyDescent="0.2">
      <c r="A245" s="2"/>
      <c r="B245" s="3"/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x14ac:dyDescent="0.2">
      <c r="A246" s="2"/>
      <c r="B246" s="3"/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x14ac:dyDescent="0.2">
      <c r="A247" s="2"/>
      <c r="B247" s="3"/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x14ac:dyDescent="0.2">
      <c r="A248" s="2"/>
      <c r="B248" s="3"/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x14ac:dyDescent="0.2">
      <c r="A249" s="2"/>
      <c r="B249" s="3"/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x14ac:dyDescent="0.2">
      <c r="A250" s="2"/>
      <c r="B250" s="3"/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x14ac:dyDescent="0.2">
      <c r="A251" s="2"/>
      <c r="B251" s="3"/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x14ac:dyDescent="0.2">
      <c r="A252" s="2"/>
      <c r="B252" s="3"/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x14ac:dyDescent="0.2">
      <c r="A253" s="2"/>
      <c r="B253" s="3"/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x14ac:dyDescent="0.2">
      <c r="A254" s="2"/>
      <c r="B254" s="3"/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x14ac:dyDescent="0.2">
      <c r="A255" s="2"/>
      <c r="B255" s="3"/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x14ac:dyDescent="0.2">
      <c r="A256" s="2"/>
      <c r="B256" s="3"/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x14ac:dyDescent="0.2">
      <c r="A257" s="2"/>
      <c r="B257" s="3"/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x14ac:dyDescent="0.2">
      <c r="A258" s="2"/>
      <c r="B258" s="3"/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x14ac:dyDescent="0.2">
      <c r="A259" s="2"/>
      <c r="B259" s="3"/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x14ac:dyDescent="0.2">
      <c r="A260" s="2"/>
      <c r="B260" s="3"/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x14ac:dyDescent="0.2">
      <c r="A261" s="2"/>
      <c r="B261" s="3"/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x14ac:dyDescent="0.2">
      <c r="A262" s="2"/>
      <c r="B262" s="3"/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x14ac:dyDescent="0.2">
      <c r="A263" s="2"/>
      <c r="B263" s="3"/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x14ac:dyDescent="0.2">
      <c r="A264" s="2"/>
      <c r="B264" s="3"/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x14ac:dyDescent="0.2">
      <c r="A265" s="2"/>
      <c r="B265" s="3"/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x14ac:dyDescent="0.2">
      <c r="A266" s="2"/>
      <c r="B266" s="3"/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x14ac:dyDescent="0.2">
      <c r="A267" s="2"/>
      <c r="B267" s="3"/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x14ac:dyDescent="0.2">
      <c r="A268" s="2"/>
      <c r="B268" s="3"/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x14ac:dyDescent="0.2">
      <c r="A269" s="2"/>
      <c r="B269" s="3"/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x14ac:dyDescent="0.2">
      <c r="A270" s="2"/>
      <c r="B270" s="3"/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x14ac:dyDescent="0.2">
      <c r="A271" s="2"/>
      <c r="B271" s="3"/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x14ac:dyDescent="0.2">
      <c r="A272" s="2"/>
      <c r="B272" s="3"/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x14ac:dyDescent="0.2">
      <c r="A273" s="2"/>
      <c r="B273" s="3"/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x14ac:dyDescent="0.2">
      <c r="A274" s="2"/>
      <c r="B274" s="3"/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x14ac:dyDescent="0.2">
      <c r="A275" s="2"/>
      <c r="B275" s="3"/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x14ac:dyDescent="0.2">
      <c r="A276" s="2"/>
      <c r="B276" s="3"/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x14ac:dyDescent="0.2">
      <c r="A277" s="2"/>
      <c r="B277" s="3"/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x14ac:dyDescent="0.2">
      <c r="A278" s="2"/>
      <c r="B278" s="3"/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x14ac:dyDescent="0.2">
      <c r="A279" s="2"/>
      <c r="B279" s="3"/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x14ac:dyDescent="0.2">
      <c r="A280" s="2"/>
      <c r="B280" s="3"/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x14ac:dyDescent="0.2">
      <c r="A281" s="2"/>
      <c r="B281" s="3"/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x14ac:dyDescent="0.2">
      <c r="A282" s="2"/>
      <c r="B282" s="3"/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x14ac:dyDescent="0.2">
      <c r="A283" s="2"/>
      <c r="B283" s="3"/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x14ac:dyDescent="0.2">
      <c r="A284" s="2"/>
      <c r="B284" s="3"/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x14ac:dyDescent="0.2">
      <c r="A285" s="2"/>
      <c r="B285" s="3"/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x14ac:dyDescent="0.2">
      <c r="A286" s="2"/>
      <c r="B286" s="3"/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x14ac:dyDescent="0.2">
      <c r="A287" s="2"/>
      <c r="B287" s="3"/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x14ac:dyDescent="0.2">
      <c r="A288" s="2"/>
      <c r="B288" s="3"/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x14ac:dyDescent="0.2">
      <c r="A289" s="2"/>
      <c r="B289" s="3"/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x14ac:dyDescent="0.2">
      <c r="A290" s="2"/>
      <c r="B290" s="3"/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x14ac:dyDescent="0.2">
      <c r="A291" s="2"/>
      <c r="B291" s="3"/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x14ac:dyDescent="0.2">
      <c r="A292" s="2"/>
      <c r="B292" s="3"/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x14ac:dyDescent="0.2">
      <c r="A293" s="2"/>
      <c r="B293" s="3"/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x14ac:dyDescent="0.2">
      <c r="A294" s="2"/>
      <c r="B294" s="3"/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x14ac:dyDescent="0.2">
      <c r="A295" s="2"/>
      <c r="B295" s="3"/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x14ac:dyDescent="0.2">
      <c r="A296" s="2"/>
      <c r="B296" s="3"/>
      <c r="C296" s="3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x14ac:dyDescent="0.2">
      <c r="A297" s="2"/>
      <c r="B297" s="3"/>
      <c r="C297" s="3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x14ac:dyDescent="0.2">
      <c r="A298" s="2"/>
      <c r="B298" s="3"/>
      <c r="C298" s="3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x14ac:dyDescent="0.2">
      <c r="A299" s="2"/>
      <c r="B299" s="3"/>
      <c r="C299" s="3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x14ac:dyDescent="0.2">
      <c r="A300" s="2"/>
      <c r="B300" s="3"/>
      <c r="C300" s="3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x14ac:dyDescent="0.2">
      <c r="A301" s="2"/>
      <c r="B301" s="3"/>
      <c r="C301" s="3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x14ac:dyDescent="0.2">
      <c r="A302" s="2"/>
      <c r="B302" s="3"/>
      <c r="C302" s="3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x14ac:dyDescent="0.2">
      <c r="A303" s="2"/>
      <c r="B303" s="3"/>
      <c r="C303" s="3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x14ac:dyDescent="0.2">
      <c r="A304" s="2"/>
      <c r="B304" s="3"/>
      <c r="C304" s="3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x14ac:dyDescent="0.2">
      <c r="A305" s="2"/>
      <c r="B305" s="3"/>
      <c r="C305" s="3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x14ac:dyDescent="0.2">
      <c r="A306" s="2"/>
      <c r="B306" s="3"/>
      <c r="C306" s="3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x14ac:dyDescent="0.2">
      <c r="A307" s="2"/>
      <c r="B307" s="3"/>
      <c r="C307" s="3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x14ac:dyDescent="0.2">
      <c r="A308" s="2"/>
      <c r="B308" s="3"/>
      <c r="C308" s="3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x14ac:dyDescent="0.2">
      <c r="A309" s="2"/>
      <c r="B309" s="3"/>
      <c r="C309" s="3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x14ac:dyDescent="0.2">
      <c r="A310" s="2"/>
      <c r="B310" s="3"/>
      <c r="C310" s="3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x14ac:dyDescent="0.2">
      <c r="A311" s="2"/>
      <c r="B311" s="3"/>
      <c r="C311" s="3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x14ac:dyDescent="0.2">
      <c r="A312" s="2"/>
      <c r="B312" s="3"/>
      <c r="C312" s="3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x14ac:dyDescent="0.2">
      <c r="A313" s="2"/>
      <c r="B313" s="3"/>
      <c r="C313" s="3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x14ac:dyDescent="0.2">
      <c r="A314" s="2"/>
      <c r="B314" s="3"/>
      <c r="C314" s="3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x14ac:dyDescent="0.2">
      <c r="A315" s="2"/>
      <c r="B315" s="3"/>
      <c r="C315" s="3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x14ac:dyDescent="0.2">
      <c r="A316" s="2"/>
      <c r="B316" s="3"/>
      <c r="C316" s="3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x14ac:dyDescent="0.2">
      <c r="A317" s="2"/>
      <c r="B317" s="3"/>
      <c r="C317" s="3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x14ac:dyDescent="0.2">
      <c r="A318" s="2"/>
      <c r="B318" s="3"/>
      <c r="C318" s="3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x14ac:dyDescent="0.2">
      <c r="A319" s="2"/>
      <c r="B319" s="3"/>
      <c r="C319" s="3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x14ac:dyDescent="0.2">
      <c r="A320" s="2"/>
      <c r="B320" s="3"/>
      <c r="C320" s="3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x14ac:dyDescent="0.2">
      <c r="A321" s="2"/>
      <c r="B321" s="3"/>
      <c r="C321" s="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x14ac:dyDescent="0.2">
      <c r="A322" s="2"/>
      <c r="B322" s="3"/>
      <c r="C322" s="3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x14ac:dyDescent="0.2">
      <c r="A323" s="2"/>
      <c r="B323" s="3"/>
      <c r="C323" s="3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x14ac:dyDescent="0.2">
      <c r="A324" s="2"/>
      <c r="B324" s="3"/>
      <c r="C324" s="3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x14ac:dyDescent="0.2">
      <c r="A325" s="2"/>
      <c r="B325" s="3"/>
      <c r="C325" s="3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x14ac:dyDescent="0.2">
      <c r="A326" s="2"/>
      <c r="B326" s="3"/>
      <c r="C326" s="3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x14ac:dyDescent="0.2">
      <c r="A327" s="2"/>
      <c r="B327" s="3"/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x14ac:dyDescent="0.2">
      <c r="A328" s="2"/>
      <c r="B328" s="3"/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x14ac:dyDescent="0.2">
      <c r="A329" s="2"/>
      <c r="B329" s="3"/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x14ac:dyDescent="0.2">
      <c r="A330" s="2"/>
      <c r="B330" s="3"/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x14ac:dyDescent="0.2">
      <c r="A331" s="2"/>
      <c r="B331" s="3"/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x14ac:dyDescent="0.2">
      <c r="A332" s="2"/>
      <c r="B332" s="3"/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x14ac:dyDescent="0.2">
      <c r="A333" s="2"/>
      <c r="B333" s="3"/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x14ac:dyDescent="0.2">
      <c r="A334" s="2"/>
      <c r="B334" s="3"/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x14ac:dyDescent="0.2">
      <c r="A335" s="2"/>
      <c r="B335" s="3"/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x14ac:dyDescent="0.2">
      <c r="A336" s="2"/>
      <c r="B336" s="3"/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x14ac:dyDescent="0.2">
      <c r="A337" s="2"/>
      <c r="B337" s="3"/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x14ac:dyDescent="0.2">
      <c r="A338" s="2"/>
      <c r="B338" s="3"/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x14ac:dyDescent="0.2">
      <c r="A339" s="2"/>
      <c r="B339" s="3"/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x14ac:dyDescent="0.2">
      <c r="A340" s="2"/>
      <c r="B340" s="3"/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x14ac:dyDescent="0.2">
      <c r="A341" s="2"/>
      <c r="B341" s="3"/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x14ac:dyDescent="0.2">
      <c r="A342" s="2"/>
      <c r="B342" s="3"/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x14ac:dyDescent="0.2">
      <c r="A343" s="2"/>
      <c r="B343" s="3"/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x14ac:dyDescent="0.2">
      <c r="A344" s="2"/>
      <c r="B344" s="3"/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x14ac:dyDescent="0.2">
      <c r="A345" s="2"/>
      <c r="B345" s="3"/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x14ac:dyDescent="0.2">
      <c r="A346" s="2"/>
      <c r="B346" s="3"/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x14ac:dyDescent="0.2">
      <c r="A347" s="2"/>
      <c r="B347" s="3"/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x14ac:dyDescent="0.2">
      <c r="A348" s="2"/>
      <c r="B348" s="3"/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x14ac:dyDescent="0.2">
      <c r="A349" s="2"/>
      <c r="B349" s="3"/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x14ac:dyDescent="0.2">
      <c r="A350" s="2"/>
      <c r="B350" s="3"/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x14ac:dyDescent="0.2">
      <c r="A351" s="2"/>
      <c r="B351" s="3"/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x14ac:dyDescent="0.2">
      <c r="A352" s="2"/>
      <c r="B352" s="3"/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x14ac:dyDescent="0.2">
      <c r="A353" s="2"/>
      <c r="B353" s="3"/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x14ac:dyDescent="0.2">
      <c r="A354" s="2"/>
      <c r="B354" s="3"/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x14ac:dyDescent="0.2">
      <c r="A355" s="2"/>
      <c r="B355" s="3"/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x14ac:dyDescent="0.2">
      <c r="A356" s="2"/>
      <c r="B356" s="3"/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x14ac:dyDescent="0.2">
      <c r="A357" s="2"/>
      <c r="B357" s="3"/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x14ac:dyDescent="0.2">
      <c r="A358" s="2"/>
      <c r="B358" s="3"/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x14ac:dyDescent="0.2">
      <c r="A359" s="2"/>
      <c r="B359" s="3"/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x14ac:dyDescent="0.2">
      <c r="A360" s="2"/>
      <c r="B360" s="3"/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x14ac:dyDescent="0.2">
      <c r="A361" s="2"/>
      <c r="B361" s="3"/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x14ac:dyDescent="0.2">
      <c r="A362" s="2"/>
      <c r="B362" s="3"/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x14ac:dyDescent="0.2">
      <c r="A363" s="2"/>
      <c r="B363" s="3"/>
      <c r="C363" s="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x14ac:dyDescent="0.2">
      <c r="A364" s="2"/>
      <c r="B364" s="3"/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x14ac:dyDescent="0.2">
      <c r="A365" s="2"/>
      <c r="B365" s="3"/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x14ac:dyDescent="0.2">
      <c r="A366" s="2"/>
      <c r="B366" s="3"/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x14ac:dyDescent="0.2">
      <c r="A367" s="2"/>
      <c r="B367" s="3"/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x14ac:dyDescent="0.2">
      <c r="A368" s="2"/>
      <c r="B368" s="3"/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x14ac:dyDescent="0.2">
      <c r="A369" s="2"/>
      <c r="B369" s="3"/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x14ac:dyDescent="0.2">
      <c r="A370" s="2"/>
      <c r="B370" s="3"/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x14ac:dyDescent="0.2">
      <c r="A371" s="2"/>
      <c r="B371" s="3"/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x14ac:dyDescent="0.2">
      <c r="A372" s="2"/>
      <c r="B372" s="3"/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x14ac:dyDescent="0.2">
      <c r="A373" s="2"/>
      <c r="B373" s="3"/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x14ac:dyDescent="0.2">
      <c r="A374" s="2"/>
      <c r="B374" s="3"/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x14ac:dyDescent="0.2">
      <c r="A375" s="2"/>
      <c r="B375" s="3"/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x14ac:dyDescent="0.2">
      <c r="A376" s="2"/>
      <c r="B376" s="3"/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x14ac:dyDescent="0.2">
      <c r="A377" s="2"/>
      <c r="B377" s="3"/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x14ac:dyDescent="0.2">
      <c r="A378" s="2"/>
      <c r="B378" s="3"/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x14ac:dyDescent="0.2">
      <c r="A379" s="2"/>
      <c r="B379" s="3"/>
      <c r="C379" s="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x14ac:dyDescent="0.2">
      <c r="A380" s="2"/>
      <c r="B380" s="3"/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x14ac:dyDescent="0.2">
      <c r="A381" s="2"/>
      <c r="B381" s="3"/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x14ac:dyDescent="0.2">
      <c r="A382" s="2"/>
      <c r="B382" s="3"/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x14ac:dyDescent="0.2">
      <c r="A383" s="2"/>
      <c r="B383" s="3"/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x14ac:dyDescent="0.2">
      <c r="A384" s="2"/>
      <c r="B384" s="3"/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x14ac:dyDescent="0.2">
      <c r="A385" s="2"/>
      <c r="B385" s="3"/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x14ac:dyDescent="0.2">
      <c r="A386" s="2"/>
      <c r="B386" s="3"/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x14ac:dyDescent="0.2">
      <c r="A387" s="2"/>
      <c r="B387" s="3"/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x14ac:dyDescent="0.2">
      <c r="A388" s="2"/>
      <c r="B388" s="3"/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x14ac:dyDescent="0.2">
      <c r="A389" s="2"/>
      <c r="B389" s="3"/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x14ac:dyDescent="0.2">
      <c r="A390" s="2"/>
      <c r="B390" s="3"/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x14ac:dyDescent="0.2">
      <c r="A391" s="2"/>
      <c r="B391" s="3"/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x14ac:dyDescent="0.2">
      <c r="A392" s="2"/>
      <c r="B392" s="3"/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x14ac:dyDescent="0.2">
      <c r="A393" s="2"/>
      <c r="B393" s="3"/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x14ac:dyDescent="0.2">
      <c r="A394" s="2"/>
      <c r="B394" s="3"/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x14ac:dyDescent="0.2">
      <c r="A395" s="2"/>
      <c r="B395" s="3"/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x14ac:dyDescent="0.2">
      <c r="A396" s="2"/>
      <c r="B396" s="3"/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x14ac:dyDescent="0.2">
      <c r="A397" s="2"/>
      <c r="B397" s="3"/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x14ac:dyDescent="0.2">
      <c r="A398" s="2"/>
      <c r="B398" s="3"/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x14ac:dyDescent="0.2">
      <c r="A399" s="2"/>
      <c r="B399" s="3"/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x14ac:dyDescent="0.2">
      <c r="A400" s="2"/>
      <c r="B400" s="3"/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x14ac:dyDescent="0.2">
      <c r="A401" s="2"/>
      <c r="B401" s="3"/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x14ac:dyDescent="0.2">
      <c r="A402" s="2"/>
      <c r="B402" s="3"/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x14ac:dyDescent="0.2">
      <c r="A403" s="2"/>
      <c r="B403" s="3"/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x14ac:dyDescent="0.2">
      <c r="A404" s="2"/>
      <c r="B404" s="3"/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x14ac:dyDescent="0.2">
      <c r="A405" s="2"/>
      <c r="B405" s="3"/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x14ac:dyDescent="0.2">
      <c r="A406" s="2"/>
      <c r="B406" s="3"/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x14ac:dyDescent="0.2">
      <c r="A407" s="2"/>
      <c r="B407" s="3"/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x14ac:dyDescent="0.2">
      <c r="A408" s="2"/>
      <c r="B408" s="3"/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x14ac:dyDescent="0.2">
      <c r="A409" s="2"/>
      <c r="B409" s="3"/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x14ac:dyDescent="0.2">
      <c r="A410" s="2"/>
      <c r="B410" s="3"/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x14ac:dyDescent="0.2">
      <c r="A411" s="2"/>
      <c r="B411" s="3"/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x14ac:dyDescent="0.2">
      <c r="A412" s="2"/>
      <c r="B412" s="3"/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x14ac:dyDescent="0.2">
      <c r="A413" s="2"/>
      <c r="B413" s="3"/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x14ac:dyDescent="0.2">
      <c r="A414" s="2"/>
      <c r="B414" s="3"/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x14ac:dyDescent="0.2">
      <c r="A415" s="2"/>
      <c r="B415" s="3"/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x14ac:dyDescent="0.2">
      <c r="A416" s="2"/>
      <c r="B416" s="3"/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x14ac:dyDescent="0.2">
      <c r="A417" s="2"/>
      <c r="B417" s="3"/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x14ac:dyDescent="0.2">
      <c r="A418" s="2"/>
      <c r="B418" s="3"/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x14ac:dyDescent="0.2">
      <c r="A419" s="2"/>
      <c r="B419" s="3"/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x14ac:dyDescent="0.2">
      <c r="A420" s="2"/>
      <c r="B420" s="3"/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x14ac:dyDescent="0.2">
      <c r="A421" s="2"/>
      <c r="B421" s="3"/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x14ac:dyDescent="0.2">
      <c r="A422" s="2"/>
      <c r="B422" s="3"/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x14ac:dyDescent="0.2">
      <c r="A423" s="2"/>
      <c r="B423" s="3"/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x14ac:dyDescent="0.2">
      <c r="A424" s="2"/>
      <c r="B424" s="3"/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x14ac:dyDescent="0.2">
      <c r="A425" s="2"/>
      <c r="B425" s="3"/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x14ac:dyDescent="0.2">
      <c r="A426" s="2"/>
      <c r="B426" s="3"/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x14ac:dyDescent="0.2">
      <c r="A427" s="2"/>
      <c r="B427" s="3"/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x14ac:dyDescent="0.2">
      <c r="A428" s="2"/>
      <c r="B428" s="3"/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x14ac:dyDescent="0.2">
      <c r="A429" s="2"/>
      <c r="B429" s="3"/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x14ac:dyDescent="0.2">
      <c r="A430" s="2"/>
      <c r="B430" s="3"/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x14ac:dyDescent="0.2">
      <c r="A431" s="2"/>
      <c r="B431" s="3"/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x14ac:dyDescent="0.2">
      <c r="A432" s="2"/>
      <c r="B432" s="3"/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x14ac:dyDescent="0.2">
      <c r="A433" s="2"/>
      <c r="B433" s="3"/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x14ac:dyDescent="0.2">
      <c r="A434" s="2"/>
      <c r="B434" s="3"/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x14ac:dyDescent="0.2">
      <c r="A435" s="2"/>
      <c r="B435" s="3"/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x14ac:dyDescent="0.2">
      <c r="A436" s="2"/>
      <c r="B436" s="3"/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x14ac:dyDescent="0.2">
      <c r="A437" s="2"/>
      <c r="B437" s="3"/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x14ac:dyDescent="0.2">
      <c r="A438" s="2"/>
      <c r="B438" s="3"/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x14ac:dyDescent="0.2">
      <c r="A439" s="2"/>
      <c r="B439" s="3"/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x14ac:dyDescent="0.2">
      <c r="A440" s="2"/>
      <c r="B440" s="3"/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x14ac:dyDescent="0.2">
      <c r="A441" s="2"/>
      <c r="B441" s="3"/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x14ac:dyDescent="0.2">
      <c r="A442" s="2"/>
      <c r="B442" s="3"/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x14ac:dyDescent="0.2">
      <c r="A443" s="2"/>
      <c r="B443" s="3"/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x14ac:dyDescent="0.2">
      <c r="A444" s="2"/>
      <c r="B444" s="3"/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x14ac:dyDescent="0.2">
      <c r="A445" s="2"/>
      <c r="B445" s="3"/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x14ac:dyDescent="0.2">
      <c r="A446" s="2"/>
      <c r="B446" s="3"/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x14ac:dyDescent="0.2">
      <c r="A447" s="2"/>
      <c r="B447" s="3"/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x14ac:dyDescent="0.2">
      <c r="A448" s="2"/>
      <c r="B448" s="3"/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x14ac:dyDescent="0.2">
      <c r="A449" s="2"/>
      <c r="B449" s="3"/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x14ac:dyDescent="0.2">
      <c r="A450" s="2"/>
      <c r="B450" s="3"/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x14ac:dyDescent="0.2">
      <c r="A451" s="2"/>
      <c r="B451" s="3"/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x14ac:dyDescent="0.2">
      <c r="A452" s="2"/>
      <c r="B452" s="3"/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x14ac:dyDescent="0.2">
      <c r="A453" s="2"/>
      <c r="B453" s="3"/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x14ac:dyDescent="0.2">
      <c r="A454" s="2"/>
      <c r="B454" s="3"/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x14ac:dyDescent="0.2">
      <c r="A455" s="2"/>
      <c r="B455" s="3"/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x14ac:dyDescent="0.2">
      <c r="A456" s="2"/>
      <c r="B456" s="3"/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x14ac:dyDescent="0.2">
      <c r="A457" s="2"/>
      <c r="B457" s="3"/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x14ac:dyDescent="0.2">
      <c r="A458" s="2"/>
      <c r="B458" s="3"/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x14ac:dyDescent="0.2">
      <c r="A459" s="2"/>
      <c r="B459" s="3"/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x14ac:dyDescent="0.2">
      <c r="A460" s="2"/>
      <c r="B460" s="3"/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x14ac:dyDescent="0.2">
      <c r="A461" s="2"/>
      <c r="B461" s="3"/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x14ac:dyDescent="0.2">
      <c r="A462" s="2"/>
      <c r="B462" s="3"/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x14ac:dyDescent="0.2">
      <c r="A463" s="2"/>
      <c r="B463" s="3"/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x14ac:dyDescent="0.2">
      <c r="A464" s="2"/>
      <c r="B464" s="3"/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x14ac:dyDescent="0.2">
      <c r="A465" s="2"/>
      <c r="B465" s="3"/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x14ac:dyDescent="0.2">
      <c r="A466" s="2"/>
      <c r="B466" s="3"/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x14ac:dyDescent="0.2">
      <c r="A467" s="2"/>
      <c r="B467" s="3"/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x14ac:dyDescent="0.2">
      <c r="A468" s="2"/>
      <c r="B468" s="3"/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x14ac:dyDescent="0.2">
      <c r="A469" s="2"/>
      <c r="B469" s="3"/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x14ac:dyDescent="0.2">
      <c r="A470" s="2"/>
      <c r="B470" s="3"/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x14ac:dyDescent="0.2">
      <c r="A471" s="2"/>
      <c r="B471" s="3"/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x14ac:dyDescent="0.2">
      <c r="A472" s="2"/>
      <c r="B472" s="3"/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x14ac:dyDescent="0.2">
      <c r="A473" s="2"/>
      <c r="B473" s="3"/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x14ac:dyDescent="0.2">
      <c r="A474" s="2"/>
      <c r="B474" s="3"/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x14ac:dyDescent="0.2">
      <c r="A475" s="2"/>
      <c r="B475" s="3"/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x14ac:dyDescent="0.2">
      <c r="A476" s="2"/>
      <c r="B476" s="3"/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x14ac:dyDescent="0.2">
      <c r="A477" s="2"/>
      <c r="B477" s="3"/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x14ac:dyDescent="0.2">
      <c r="A478" s="2"/>
      <c r="B478" s="3"/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x14ac:dyDescent="0.2">
      <c r="A479" s="2"/>
      <c r="B479" s="3"/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x14ac:dyDescent="0.2">
      <c r="A480" s="2"/>
      <c r="B480" s="3"/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x14ac:dyDescent="0.2">
      <c r="A481" s="2"/>
      <c r="B481" s="3"/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x14ac:dyDescent="0.2">
      <c r="A482" s="2"/>
      <c r="B482" s="3"/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x14ac:dyDescent="0.2">
      <c r="A483" s="2"/>
      <c r="B483" s="3"/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x14ac:dyDescent="0.2">
      <c r="A484" s="2"/>
      <c r="B484" s="3"/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x14ac:dyDescent="0.2">
      <c r="A485" s="2"/>
      <c r="B485" s="3"/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x14ac:dyDescent="0.2">
      <c r="A486" s="2"/>
      <c r="B486" s="3"/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x14ac:dyDescent="0.2">
      <c r="A487" s="2"/>
      <c r="B487" s="3"/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x14ac:dyDescent="0.2">
      <c r="A488" s="2"/>
      <c r="B488" s="3"/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x14ac:dyDescent="0.2">
      <c r="A489" s="2"/>
      <c r="B489" s="3"/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x14ac:dyDescent="0.2">
      <c r="A490" s="2"/>
      <c r="B490" s="3"/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x14ac:dyDescent="0.2">
      <c r="A491" s="2"/>
      <c r="B491" s="3"/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x14ac:dyDescent="0.2">
      <c r="A492" s="2"/>
      <c r="B492" s="3"/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x14ac:dyDescent="0.2">
      <c r="A493" s="2"/>
      <c r="B493" s="3"/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x14ac:dyDescent="0.2">
      <c r="A494" s="2"/>
      <c r="B494" s="3"/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x14ac:dyDescent="0.2">
      <c r="A495" s="2"/>
      <c r="B495" s="3"/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x14ac:dyDescent="0.2">
      <c r="A496" s="2"/>
      <c r="B496" s="3"/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x14ac:dyDescent="0.2">
      <c r="A497" s="2"/>
      <c r="B497" s="3"/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x14ac:dyDescent="0.2">
      <c r="A498" s="2"/>
      <c r="B498" s="3"/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x14ac:dyDescent="0.2">
      <c r="A499" s="2"/>
      <c r="B499" s="3"/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x14ac:dyDescent="0.2">
      <c r="A500" s="2"/>
      <c r="B500" s="3"/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x14ac:dyDescent="0.2">
      <c r="A501" s="2"/>
      <c r="B501" s="3"/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x14ac:dyDescent="0.2">
      <c r="A502" s="2"/>
      <c r="B502" s="3"/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x14ac:dyDescent="0.2">
      <c r="A503" s="2"/>
      <c r="B503" s="3"/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x14ac:dyDescent="0.2">
      <c r="A504" s="2"/>
      <c r="B504" s="3"/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x14ac:dyDescent="0.2">
      <c r="A505" s="2"/>
      <c r="B505" s="3"/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x14ac:dyDescent="0.2">
      <c r="A506" s="2"/>
      <c r="B506" s="3"/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x14ac:dyDescent="0.2">
      <c r="A507" s="2"/>
      <c r="B507" s="3"/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x14ac:dyDescent="0.2">
      <c r="A508" s="2"/>
      <c r="B508" s="3"/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x14ac:dyDescent="0.2">
      <c r="A509" s="2"/>
      <c r="B509" s="3"/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x14ac:dyDescent="0.2">
      <c r="A510" s="2"/>
      <c r="B510" s="3"/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x14ac:dyDescent="0.2">
      <c r="A511" s="2"/>
      <c r="B511" s="3"/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x14ac:dyDescent="0.2">
      <c r="A512" s="2"/>
      <c r="B512" s="3"/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x14ac:dyDescent="0.2">
      <c r="A513" s="2"/>
      <c r="B513" s="3"/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x14ac:dyDescent="0.2">
      <c r="A514" s="2"/>
      <c r="B514" s="3"/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x14ac:dyDescent="0.2">
      <c r="A515" s="2"/>
      <c r="B515" s="3"/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x14ac:dyDescent="0.2">
      <c r="A516" s="2"/>
      <c r="B516" s="3"/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x14ac:dyDescent="0.2">
      <c r="A517" s="2"/>
      <c r="B517" s="3"/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x14ac:dyDescent="0.2">
      <c r="A518" s="2"/>
      <c r="B518" s="3"/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x14ac:dyDescent="0.2">
      <c r="A519" s="2"/>
      <c r="B519" s="3"/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x14ac:dyDescent="0.2">
      <c r="A520" s="2"/>
      <c r="B520" s="3"/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x14ac:dyDescent="0.2">
      <c r="A521" s="2"/>
      <c r="B521" s="3"/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x14ac:dyDescent="0.2">
      <c r="A522" s="2"/>
      <c r="B522" s="3"/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x14ac:dyDescent="0.2">
      <c r="A523" s="2"/>
      <c r="B523" s="3"/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x14ac:dyDescent="0.2">
      <c r="A524" s="2"/>
      <c r="B524" s="3"/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x14ac:dyDescent="0.2">
      <c r="A525" s="2"/>
      <c r="B525" s="3"/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x14ac:dyDescent="0.2">
      <c r="A526" s="2"/>
      <c r="B526" s="3"/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x14ac:dyDescent="0.2">
      <c r="A527" s="2"/>
      <c r="B527" s="3"/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x14ac:dyDescent="0.2">
      <c r="A528" s="2"/>
      <c r="B528" s="3"/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x14ac:dyDescent="0.2">
      <c r="A529" s="2"/>
      <c r="B529" s="3"/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x14ac:dyDescent="0.2">
      <c r="A530" s="2"/>
      <c r="B530" s="3"/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x14ac:dyDescent="0.2">
      <c r="A531" s="2"/>
      <c r="B531" s="3"/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x14ac:dyDescent="0.2">
      <c r="A532" s="2"/>
      <c r="B532" s="3"/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x14ac:dyDescent="0.2">
      <c r="A533" s="2"/>
      <c r="B533" s="3"/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x14ac:dyDescent="0.2">
      <c r="A534" s="2"/>
      <c r="B534" s="3"/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x14ac:dyDescent="0.2">
      <c r="A535" s="2"/>
      <c r="B535" s="3"/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x14ac:dyDescent="0.2">
      <c r="A536" s="2"/>
      <c r="B536" s="3"/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x14ac:dyDescent="0.2">
      <c r="A537" s="2"/>
      <c r="B537" s="3"/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x14ac:dyDescent="0.2">
      <c r="A538" s="2"/>
      <c r="B538" s="3"/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x14ac:dyDescent="0.2">
      <c r="A539" s="2"/>
      <c r="B539" s="3"/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x14ac:dyDescent="0.2">
      <c r="A540" s="2"/>
      <c r="B540" s="3"/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x14ac:dyDescent="0.2">
      <c r="A541" s="2"/>
      <c r="B541" s="3"/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x14ac:dyDescent="0.2">
      <c r="A542" s="2"/>
      <c r="B542" s="3"/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x14ac:dyDescent="0.2">
      <c r="A543" s="2"/>
      <c r="B543" s="3"/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x14ac:dyDescent="0.2">
      <c r="A544" s="2"/>
      <c r="B544" s="3"/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x14ac:dyDescent="0.2">
      <c r="A545" s="2"/>
      <c r="B545" s="3"/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x14ac:dyDescent="0.2">
      <c r="A546" s="2"/>
      <c r="B546" s="3"/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x14ac:dyDescent="0.2">
      <c r="A547" s="2"/>
      <c r="B547" s="3"/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x14ac:dyDescent="0.2">
      <c r="A548" s="2"/>
      <c r="B548" s="3"/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x14ac:dyDescent="0.2">
      <c r="A549" s="2"/>
      <c r="B549" s="3"/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x14ac:dyDescent="0.2">
      <c r="A550" s="2"/>
      <c r="B550" s="3"/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x14ac:dyDescent="0.2">
      <c r="A551" s="2"/>
      <c r="B551" s="3"/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x14ac:dyDescent="0.2">
      <c r="A552" s="2"/>
      <c r="B552" s="3"/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x14ac:dyDescent="0.2">
      <c r="A553" s="2"/>
      <c r="B553" s="3"/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x14ac:dyDescent="0.2">
      <c r="A554" s="2"/>
      <c r="B554" s="3"/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x14ac:dyDescent="0.2">
      <c r="A555" s="2"/>
      <c r="B555" s="3"/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x14ac:dyDescent="0.2">
      <c r="A556" s="2"/>
      <c r="B556" s="3"/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x14ac:dyDescent="0.2">
      <c r="A557" s="2"/>
      <c r="B557" s="3"/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x14ac:dyDescent="0.2">
      <c r="A558" s="2"/>
      <c r="B558" s="3"/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x14ac:dyDescent="0.2">
      <c r="A559" s="2"/>
      <c r="B559" s="3"/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x14ac:dyDescent="0.2">
      <c r="A560" s="2"/>
      <c r="B560" s="3"/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x14ac:dyDescent="0.2">
      <c r="A561" s="2"/>
      <c r="B561" s="3"/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x14ac:dyDescent="0.2">
      <c r="A562" s="2"/>
      <c r="B562" s="3"/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x14ac:dyDescent="0.2">
      <c r="A563" s="2"/>
      <c r="B563" s="3"/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x14ac:dyDescent="0.2">
      <c r="A564" s="2"/>
      <c r="B564" s="3"/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x14ac:dyDescent="0.2">
      <c r="A565" s="2"/>
      <c r="B565" s="3"/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x14ac:dyDescent="0.2">
      <c r="A566" s="2"/>
      <c r="B566" s="3"/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x14ac:dyDescent="0.2">
      <c r="A567" s="2"/>
      <c r="B567" s="3"/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x14ac:dyDescent="0.2">
      <c r="A568" s="2"/>
      <c r="B568" s="3"/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x14ac:dyDescent="0.2">
      <c r="A569" s="2"/>
      <c r="B569" s="3"/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x14ac:dyDescent="0.2">
      <c r="A570" s="2"/>
      <c r="B570" s="3"/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x14ac:dyDescent="0.2">
      <c r="A571" s="2"/>
      <c r="B571" s="3"/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x14ac:dyDescent="0.2">
      <c r="A572" s="2"/>
      <c r="B572" s="3"/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x14ac:dyDescent="0.2">
      <c r="A573" s="2"/>
      <c r="B573" s="3"/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x14ac:dyDescent="0.2">
      <c r="A574" s="2"/>
      <c r="B574" s="3"/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x14ac:dyDescent="0.2">
      <c r="A575" s="2"/>
      <c r="B575" s="3"/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x14ac:dyDescent="0.2">
      <c r="A576" s="2"/>
      <c r="B576" s="3"/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x14ac:dyDescent="0.2">
      <c r="A577" s="2"/>
      <c r="B577" s="3"/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x14ac:dyDescent="0.2">
      <c r="A578" s="2"/>
      <c r="B578" s="3"/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x14ac:dyDescent="0.2">
      <c r="A579" s="2"/>
      <c r="B579" s="3"/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x14ac:dyDescent="0.2">
      <c r="A580" s="2"/>
      <c r="B580" s="3"/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x14ac:dyDescent="0.2">
      <c r="A581" s="2"/>
      <c r="B581" s="3"/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x14ac:dyDescent="0.2">
      <c r="A582" s="2"/>
      <c r="B582" s="3"/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x14ac:dyDescent="0.2">
      <c r="A583" s="2"/>
      <c r="B583" s="3"/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x14ac:dyDescent="0.2">
      <c r="A584" s="2"/>
      <c r="B584" s="3"/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x14ac:dyDescent="0.2">
      <c r="A585" s="2"/>
      <c r="B585" s="3"/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x14ac:dyDescent="0.2">
      <c r="A586" s="2"/>
      <c r="B586" s="3"/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x14ac:dyDescent="0.2">
      <c r="A587" s="2"/>
      <c r="B587" s="3"/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x14ac:dyDescent="0.2">
      <c r="A588" s="2"/>
      <c r="B588" s="3"/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x14ac:dyDescent="0.2">
      <c r="A589" s="2"/>
      <c r="B589" s="3"/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x14ac:dyDescent="0.2">
      <c r="A590" s="2"/>
      <c r="B590" s="3"/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x14ac:dyDescent="0.2">
      <c r="A591" s="2"/>
      <c r="B591" s="3"/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x14ac:dyDescent="0.2">
      <c r="A592" s="2"/>
      <c r="B592" s="3"/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x14ac:dyDescent="0.2">
      <c r="A593" s="2"/>
      <c r="B593" s="3"/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x14ac:dyDescent="0.2">
      <c r="A594" s="2"/>
      <c r="B594" s="3"/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x14ac:dyDescent="0.2">
      <c r="A595" s="2"/>
      <c r="B595" s="3"/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x14ac:dyDescent="0.2">
      <c r="A596" s="2"/>
      <c r="B596" s="3"/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x14ac:dyDescent="0.2">
      <c r="A597" s="2"/>
      <c r="B597" s="3"/>
      <c r="C597" s="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x14ac:dyDescent="0.2">
      <c r="A598" s="2"/>
      <c r="B598" s="3"/>
      <c r="C598" s="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x14ac:dyDescent="0.2">
      <c r="A599" s="2"/>
      <c r="B599" s="3"/>
      <c r="C599" s="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x14ac:dyDescent="0.2">
      <c r="A600" s="2"/>
      <c r="B600" s="3"/>
      <c r="C600" s="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x14ac:dyDescent="0.2">
      <c r="A601" s="2"/>
      <c r="B601" s="3"/>
      <c r="C601" s="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x14ac:dyDescent="0.2">
      <c r="A602" s="2"/>
      <c r="B602" s="3"/>
      <c r="C602" s="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x14ac:dyDescent="0.2">
      <c r="A603" s="2"/>
      <c r="B603" s="3"/>
      <c r="C603" s="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x14ac:dyDescent="0.2">
      <c r="A604" s="2"/>
      <c r="B604" s="3"/>
      <c r="C604" s="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x14ac:dyDescent="0.2">
      <c r="A605" s="2"/>
      <c r="B605" s="3"/>
      <c r="C605" s="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x14ac:dyDescent="0.2">
      <c r="A606" s="2"/>
      <c r="B606" s="3"/>
      <c r="C606" s="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x14ac:dyDescent="0.2">
      <c r="A607" s="2"/>
      <c r="B607" s="3"/>
      <c r="C607" s="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x14ac:dyDescent="0.2">
      <c r="A608" s="2"/>
      <c r="B608" s="3"/>
      <c r="C608" s="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x14ac:dyDescent="0.2">
      <c r="A609" s="2"/>
      <c r="B609" s="3"/>
      <c r="C609" s="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x14ac:dyDescent="0.2">
      <c r="A610" s="2"/>
      <c r="B610" s="3"/>
      <c r="C610" s="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x14ac:dyDescent="0.2">
      <c r="A611" s="2"/>
      <c r="B611" s="3"/>
      <c r="C611" s="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x14ac:dyDescent="0.2">
      <c r="A612" s="2"/>
      <c r="B612" s="3"/>
      <c r="C612" s="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x14ac:dyDescent="0.2">
      <c r="A613" s="2"/>
      <c r="B613" s="3"/>
      <c r="C613" s="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x14ac:dyDescent="0.2">
      <c r="A614" s="2"/>
      <c r="B614" s="3"/>
      <c r="C614" s="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x14ac:dyDescent="0.2">
      <c r="A615" s="2"/>
      <c r="B615" s="3"/>
      <c r="C615" s="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x14ac:dyDescent="0.2">
      <c r="A616" s="2"/>
      <c r="B616" s="3"/>
      <c r="C616" s="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x14ac:dyDescent="0.2">
      <c r="A617" s="2"/>
      <c r="B617" s="3"/>
      <c r="C617" s="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x14ac:dyDescent="0.2">
      <c r="A618" s="2"/>
      <c r="B618" s="3"/>
      <c r="C618" s="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x14ac:dyDescent="0.2">
      <c r="A619" s="2"/>
      <c r="B619" s="3"/>
      <c r="C619" s="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x14ac:dyDescent="0.2">
      <c r="A620" s="2"/>
      <c r="B620" s="3"/>
      <c r="C620" s="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x14ac:dyDescent="0.2">
      <c r="A621" s="2"/>
      <c r="B621" s="3"/>
      <c r="C621" s="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x14ac:dyDescent="0.2">
      <c r="A622" s="2"/>
      <c r="B622" s="3"/>
      <c r="C622" s="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x14ac:dyDescent="0.2">
      <c r="A623" s="2"/>
      <c r="B623" s="3"/>
      <c r="C623" s="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x14ac:dyDescent="0.2">
      <c r="A624" s="2"/>
      <c r="B624" s="3"/>
      <c r="C624" s="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x14ac:dyDescent="0.2">
      <c r="A625" s="2"/>
      <c r="B625" s="3"/>
      <c r="C625" s="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x14ac:dyDescent="0.2">
      <c r="A626" s="2"/>
      <c r="B626" s="3"/>
      <c r="C626" s="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x14ac:dyDescent="0.2">
      <c r="A627" s="2"/>
      <c r="B627" s="3"/>
      <c r="C627" s="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x14ac:dyDescent="0.2">
      <c r="A628" s="2"/>
      <c r="B628" s="3"/>
      <c r="C628" s="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x14ac:dyDescent="0.2">
      <c r="A629" s="2"/>
      <c r="B629" s="3"/>
      <c r="C629" s="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x14ac:dyDescent="0.2">
      <c r="A630" s="2"/>
      <c r="B630" s="3"/>
      <c r="C630" s="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x14ac:dyDescent="0.2">
      <c r="A631" s="2"/>
      <c r="B631" s="3"/>
      <c r="C631" s="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x14ac:dyDescent="0.2">
      <c r="A632" s="2"/>
      <c r="B632" s="3"/>
      <c r="C632" s="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x14ac:dyDescent="0.2">
      <c r="A633" s="2"/>
      <c r="B633" s="3"/>
      <c r="C633" s="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x14ac:dyDescent="0.2">
      <c r="A634" s="2"/>
      <c r="B634" s="3"/>
      <c r="C634" s="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x14ac:dyDescent="0.2">
      <c r="A635" s="2"/>
      <c r="B635" s="3"/>
      <c r="C635" s="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x14ac:dyDescent="0.2">
      <c r="A636" s="2"/>
      <c r="B636" s="3"/>
      <c r="C636" s="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x14ac:dyDescent="0.2">
      <c r="A637" s="2"/>
      <c r="B637" s="3"/>
      <c r="C637" s="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x14ac:dyDescent="0.2">
      <c r="A638" s="2"/>
      <c r="B638" s="3"/>
      <c r="C638" s="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x14ac:dyDescent="0.2">
      <c r="A639" s="2"/>
      <c r="B639" s="3"/>
      <c r="C639" s="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x14ac:dyDescent="0.2">
      <c r="A640" s="2"/>
      <c r="B640" s="3"/>
      <c r="C640" s="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x14ac:dyDescent="0.2">
      <c r="A641" s="2"/>
      <c r="B641" s="3"/>
      <c r="C641" s="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x14ac:dyDescent="0.2">
      <c r="A642" s="2"/>
      <c r="B642" s="3"/>
      <c r="C642" s="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x14ac:dyDescent="0.2">
      <c r="A643" s="2"/>
      <c r="B643" s="3"/>
      <c r="C643" s="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x14ac:dyDescent="0.2">
      <c r="A644" s="2"/>
      <c r="B644" s="3"/>
      <c r="C644" s="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x14ac:dyDescent="0.2">
      <c r="A645" s="2"/>
      <c r="B645" s="3"/>
      <c r="C645" s="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x14ac:dyDescent="0.2">
      <c r="A646" s="2"/>
      <c r="B646" s="3"/>
      <c r="C646" s="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x14ac:dyDescent="0.2">
      <c r="A647" s="2"/>
      <c r="B647" s="3"/>
      <c r="C647" s="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x14ac:dyDescent="0.2">
      <c r="A648" s="2"/>
      <c r="B648" s="3"/>
      <c r="C648" s="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x14ac:dyDescent="0.2">
      <c r="A649" s="2"/>
      <c r="B649" s="3"/>
      <c r="C649" s="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x14ac:dyDescent="0.2">
      <c r="A650" s="2"/>
      <c r="B650" s="3"/>
      <c r="C650" s="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x14ac:dyDescent="0.2">
      <c r="A651" s="2"/>
      <c r="B651" s="3"/>
      <c r="C651" s="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x14ac:dyDescent="0.2">
      <c r="A652" s="2"/>
      <c r="B652" s="3"/>
      <c r="C652" s="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x14ac:dyDescent="0.2">
      <c r="A653" s="2"/>
      <c r="B653" s="3"/>
      <c r="C653" s="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x14ac:dyDescent="0.2">
      <c r="A654" s="2"/>
      <c r="B654" s="3"/>
      <c r="C654" s="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x14ac:dyDescent="0.2">
      <c r="A655" s="2"/>
      <c r="B655" s="3"/>
      <c r="C655" s="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x14ac:dyDescent="0.2">
      <c r="A656" s="2"/>
      <c r="B656" s="3"/>
      <c r="C656" s="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x14ac:dyDescent="0.2">
      <c r="A657" s="2"/>
      <c r="B657" s="3"/>
      <c r="C657" s="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x14ac:dyDescent="0.2">
      <c r="A658" s="2"/>
      <c r="B658" s="3"/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x14ac:dyDescent="0.2">
      <c r="A659" s="2"/>
      <c r="B659" s="3"/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x14ac:dyDescent="0.2">
      <c r="A660" s="2"/>
      <c r="B660" s="3"/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x14ac:dyDescent="0.2">
      <c r="A661" s="2"/>
      <c r="B661" s="3"/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x14ac:dyDescent="0.2">
      <c r="A662" s="2"/>
      <c r="B662" s="3"/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x14ac:dyDescent="0.2">
      <c r="A663" s="2"/>
      <c r="B663" s="3"/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x14ac:dyDescent="0.2">
      <c r="A664" s="2"/>
      <c r="B664" s="3"/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x14ac:dyDescent="0.2">
      <c r="A665" s="2"/>
      <c r="B665" s="3"/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x14ac:dyDescent="0.2">
      <c r="A666" s="2"/>
      <c r="B666" s="3"/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x14ac:dyDescent="0.2">
      <c r="A667" s="2"/>
      <c r="B667" s="3"/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x14ac:dyDescent="0.2">
      <c r="A668" s="2"/>
      <c r="B668" s="3"/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x14ac:dyDescent="0.2">
      <c r="A669" s="2"/>
      <c r="B669" s="3"/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x14ac:dyDescent="0.2">
      <c r="A670" s="2"/>
      <c r="B670" s="3"/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x14ac:dyDescent="0.2">
      <c r="A671" s="2"/>
      <c r="B671" s="3"/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x14ac:dyDescent="0.2">
      <c r="A672" s="2"/>
      <c r="B672" s="3"/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x14ac:dyDescent="0.2">
      <c r="A673" s="2"/>
      <c r="B673" s="3"/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x14ac:dyDescent="0.2">
      <c r="A674" s="2"/>
      <c r="B674" s="3"/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x14ac:dyDescent="0.2">
      <c r="A675" s="2"/>
      <c r="B675" s="3"/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x14ac:dyDescent="0.2">
      <c r="A676" s="2"/>
      <c r="B676" s="3"/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x14ac:dyDescent="0.2">
      <c r="A677" s="2"/>
      <c r="B677" s="3"/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x14ac:dyDescent="0.2">
      <c r="A678" s="2"/>
      <c r="B678" s="3"/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x14ac:dyDescent="0.2">
      <c r="A679" s="2"/>
      <c r="B679" s="3"/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x14ac:dyDescent="0.2">
      <c r="A680" s="2"/>
      <c r="B680" s="3"/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x14ac:dyDescent="0.2">
      <c r="A681" s="2"/>
      <c r="B681" s="3"/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x14ac:dyDescent="0.2">
      <c r="A682" s="2"/>
      <c r="B682" s="3"/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x14ac:dyDescent="0.2">
      <c r="A683" s="2"/>
      <c r="B683" s="3"/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x14ac:dyDescent="0.2">
      <c r="A684" s="2"/>
      <c r="B684" s="3"/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x14ac:dyDescent="0.2">
      <c r="A685" s="2"/>
      <c r="B685" s="3"/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x14ac:dyDescent="0.2">
      <c r="A686" s="2"/>
      <c r="B686" s="3"/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x14ac:dyDescent="0.2">
      <c r="A687" s="2"/>
      <c r="B687" s="3"/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x14ac:dyDescent="0.2">
      <c r="A688" s="2"/>
      <c r="B688" s="3"/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x14ac:dyDescent="0.2">
      <c r="A689" s="2"/>
      <c r="B689" s="3"/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x14ac:dyDescent="0.2">
      <c r="A690" s="2"/>
      <c r="B690" s="3"/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x14ac:dyDescent="0.2">
      <c r="A691" s="2"/>
      <c r="B691" s="3"/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x14ac:dyDescent="0.2">
      <c r="A692" s="2"/>
      <c r="B692" s="3"/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x14ac:dyDescent="0.2">
      <c r="A693" s="2"/>
      <c r="B693" s="3"/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x14ac:dyDescent="0.2">
      <c r="A694" s="2"/>
      <c r="B694" s="3"/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x14ac:dyDescent="0.2">
      <c r="A695" s="2"/>
      <c r="B695" s="3"/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x14ac:dyDescent="0.2">
      <c r="A696" s="2"/>
      <c r="B696" s="3"/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x14ac:dyDescent="0.2">
      <c r="A697" s="2"/>
      <c r="B697" s="3"/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x14ac:dyDescent="0.2">
      <c r="A698" s="2"/>
      <c r="B698" s="3"/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x14ac:dyDescent="0.2">
      <c r="A699" s="2"/>
      <c r="B699" s="3"/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x14ac:dyDescent="0.2">
      <c r="A700" s="2"/>
      <c r="B700" s="3"/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x14ac:dyDescent="0.2">
      <c r="A701" s="2"/>
      <c r="B701" s="3"/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x14ac:dyDescent="0.2">
      <c r="A702" s="2"/>
      <c r="B702" s="3"/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x14ac:dyDescent="0.2">
      <c r="A703" s="2"/>
      <c r="B703" s="3"/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x14ac:dyDescent="0.2">
      <c r="A704" s="2"/>
      <c r="B704" s="3"/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x14ac:dyDescent="0.2">
      <c r="A705" s="2"/>
      <c r="B705" s="3"/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x14ac:dyDescent="0.2">
      <c r="A706" s="2"/>
      <c r="B706" s="3"/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x14ac:dyDescent="0.2">
      <c r="A707" s="2"/>
      <c r="B707" s="3"/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x14ac:dyDescent="0.2">
      <c r="A708" s="2"/>
      <c r="B708" s="3"/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x14ac:dyDescent="0.2">
      <c r="A709" s="2"/>
      <c r="B709" s="3"/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x14ac:dyDescent="0.2">
      <c r="A710" s="2"/>
      <c r="B710" s="3"/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x14ac:dyDescent="0.2">
      <c r="A711" s="2"/>
      <c r="B711" s="3"/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x14ac:dyDescent="0.2">
      <c r="A712" s="2"/>
      <c r="B712" s="3"/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x14ac:dyDescent="0.2">
      <c r="A713" s="2"/>
      <c r="B713" s="3"/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x14ac:dyDescent="0.2">
      <c r="A714" s="2"/>
      <c r="B714" s="3"/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x14ac:dyDescent="0.2">
      <c r="A715" s="2"/>
      <c r="B715" s="3"/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x14ac:dyDescent="0.2">
      <c r="A716" s="2"/>
      <c r="B716" s="3"/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x14ac:dyDescent="0.2">
      <c r="A717" s="2"/>
      <c r="B717" s="3"/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x14ac:dyDescent="0.2">
      <c r="A718" s="2"/>
      <c r="B718" s="3"/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x14ac:dyDescent="0.2">
      <c r="A719" s="2"/>
      <c r="B719" s="3"/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x14ac:dyDescent="0.2">
      <c r="A720" s="2"/>
      <c r="B720" s="3"/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x14ac:dyDescent="0.2">
      <c r="A721" s="2"/>
      <c r="B721" s="3"/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x14ac:dyDescent="0.2">
      <c r="A722" s="2"/>
      <c r="B722" s="3"/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x14ac:dyDescent="0.2">
      <c r="A723" s="2"/>
      <c r="B723" s="3"/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x14ac:dyDescent="0.2">
      <c r="A724" s="2"/>
      <c r="B724" s="3"/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x14ac:dyDescent="0.2">
      <c r="A725" s="2"/>
      <c r="B725" s="3"/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x14ac:dyDescent="0.2">
      <c r="A726" s="2"/>
      <c r="B726" s="3"/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x14ac:dyDescent="0.2">
      <c r="A727" s="2"/>
      <c r="B727" s="3"/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x14ac:dyDescent="0.2">
      <c r="A728" s="2"/>
      <c r="B728" s="3"/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x14ac:dyDescent="0.2">
      <c r="A729" s="2"/>
      <c r="B729" s="3"/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x14ac:dyDescent="0.2">
      <c r="A730" s="2"/>
      <c r="B730" s="3"/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x14ac:dyDescent="0.2">
      <c r="A731" s="2"/>
      <c r="B731" s="3"/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x14ac:dyDescent="0.2">
      <c r="A732" s="2"/>
      <c r="B732" s="3"/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x14ac:dyDescent="0.2">
      <c r="A733" s="2"/>
      <c r="B733" s="3"/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x14ac:dyDescent="0.2">
      <c r="A734" s="2"/>
      <c r="B734" s="3"/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x14ac:dyDescent="0.2">
      <c r="A735" s="2"/>
      <c r="B735" s="3"/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x14ac:dyDescent="0.2">
      <c r="A736" s="2"/>
      <c r="B736" s="3"/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x14ac:dyDescent="0.2">
      <c r="A737" s="2"/>
      <c r="B737" s="3"/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x14ac:dyDescent="0.2">
      <c r="A738" s="2"/>
      <c r="B738" s="3"/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x14ac:dyDescent="0.2">
      <c r="A739" s="2"/>
      <c r="B739" s="3"/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x14ac:dyDescent="0.2">
      <c r="A740" s="2"/>
      <c r="B740" s="3"/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x14ac:dyDescent="0.2">
      <c r="A741" s="2"/>
      <c r="B741" s="3"/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x14ac:dyDescent="0.2">
      <c r="A742" s="2"/>
      <c r="B742" s="3"/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x14ac:dyDescent="0.2">
      <c r="A743" s="2"/>
      <c r="B743" s="3"/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x14ac:dyDescent="0.2">
      <c r="A744" s="2"/>
      <c r="B744" s="3"/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x14ac:dyDescent="0.2">
      <c r="A745" s="2"/>
      <c r="B745" s="3"/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x14ac:dyDescent="0.2">
      <c r="A746" s="2"/>
      <c r="B746" s="3"/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x14ac:dyDescent="0.2">
      <c r="A747" s="2"/>
      <c r="B747" s="3"/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x14ac:dyDescent="0.2">
      <c r="A748" s="2"/>
      <c r="B748" s="3"/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x14ac:dyDescent="0.2">
      <c r="A749" s="2"/>
      <c r="B749" s="3"/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x14ac:dyDescent="0.2">
      <c r="A750" s="2"/>
      <c r="B750" s="3"/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x14ac:dyDescent="0.2">
      <c r="A751" s="2"/>
      <c r="B751" s="3"/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x14ac:dyDescent="0.2">
      <c r="A752" s="2"/>
      <c r="B752" s="3"/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x14ac:dyDescent="0.2">
      <c r="A753" s="2"/>
      <c r="B753" s="3"/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x14ac:dyDescent="0.2">
      <c r="A754" s="2"/>
      <c r="B754" s="3"/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x14ac:dyDescent="0.2">
      <c r="A755" s="2"/>
      <c r="B755" s="3"/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x14ac:dyDescent="0.2">
      <c r="A756" s="2"/>
      <c r="B756" s="3"/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x14ac:dyDescent="0.2">
      <c r="A757" s="2"/>
      <c r="B757" s="3"/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x14ac:dyDescent="0.2">
      <c r="A758" s="2"/>
      <c r="B758" s="3"/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x14ac:dyDescent="0.2">
      <c r="A759" s="2"/>
      <c r="B759" s="3"/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x14ac:dyDescent="0.2">
      <c r="A760" s="2"/>
      <c r="B760" s="3"/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x14ac:dyDescent="0.2">
      <c r="A761" s="2"/>
      <c r="B761" s="3"/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x14ac:dyDescent="0.2">
      <c r="A762" s="2"/>
      <c r="B762" s="3"/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x14ac:dyDescent="0.2">
      <c r="A763" s="2"/>
      <c r="B763" s="3"/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x14ac:dyDescent="0.2">
      <c r="A764" s="2"/>
      <c r="B764" s="3"/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x14ac:dyDescent="0.2">
      <c r="A765" s="2"/>
      <c r="B765" s="3"/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x14ac:dyDescent="0.2">
      <c r="A766" s="2"/>
      <c r="B766" s="3"/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x14ac:dyDescent="0.2">
      <c r="A767" s="2"/>
      <c r="B767" s="3"/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x14ac:dyDescent="0.2">
      <c r="A768" s="2"/>
      <c r="B768" s="3"/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x14ac:dyDescent="0.2">
      <c r="A769" s="2"/>
      <c r="B769" s="3"/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x14ac:dyDescent="0.2">
      <c r="A770" s="2"/>
      <c r="B770" s="3"/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x14ac:dyDescent="0.2">
      <c r="A771" s="2"/>
      <c r="B771" s="3"/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x14ac:dyDescent="0.2">
      <c r="A772" s="2"/>
      <c r="B772" s="3"/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x14ac:dyDescent="0.2">
      <c r="A773" s="2"/>
      <c r="B773" s="3"/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x14ac:dyDescent="0.2">
      <c r="A774" s="2"/>
      <c r="B774" s="3"/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x14ac:dyDescent="0.2">
      <c r="A775" s="2"/>
      <c r="B775" s="3"/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x14ac:dyDescent="0.2">
      <c r="A776" s="2"/>
      <c r="B776" s="3"/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x14ac:dyDescent="0.2">
      <c r="A777" s="2"/>
      <c r="B777" s="3"/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x14ac:dyDescent="0.2">
      <c r="A778" s="2"/>
      <c r="B778" s="3"/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x14ac:dyDescent="0.2">
      <c r="A779" s="2"/>
      <c r="B779" s="3"/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x14ac:dyDescent="0.2">
      <c r="A780" s="2"/>
      <c r="B780" s="3"/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x14ac:dyDescent="0.2">
      <c r="A781" s="2"/>
      <c r="B781" s="3"/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x14ac:dyDescent="0.2">
      <c r="A782" s="2"/>
      <c r="B782" s="3"/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x14ac:dyDescent="0.2">
      <c r="A783" s="2"/>
      <c r="B783" s="3"/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x14ac:dyDescent="0.2">
      <c r="A784" s="2"/>
      <c r="B784" s="3"/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x14ac:dyDescent="0.2">
      <c r="A785" s="2"/>
      <c r="B785" s="3"/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x14ac:dyDescent="0.2">
      <c r="A786" s="2"/>
      <c r="B786" s="3"/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x14ac:dyDescent="0.2">
      <c r="A787" s="2"/>
      <c r="B787" s="3"/>
      <c r="C787" s="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x14ac:dyDescent="0.2">
      <c r="A788" s="2"/>
      <c r="B788" s="3"/>
      <c r="C788" s="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x14ac:dyDescent="0.2">
      <c r="A789" s="2"/>
      <c r="B789" s="3"/>
      <c r="C789" s="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x14ac:dyDescent="0.2">
      <c r="A790" s="2"/>
      <c r="B790" s="3"/>
      <c r="C790" s="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x14ac:dyDescent="0.2">
      <c r="A791" s="2"/>
      <c r="B791" s="3"/>
      <c r="C791" s="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x14ac:dyDescent="0.2">
      <c r="A792" s="2"/>
      <c r="B792" s="3"/>
      <c r="C792" s="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x14ac:dyDescent="0.2">
      <c r="A793" s="2"/>
      <c r="B793" s="3"/>
      <c r="C793" s="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x14ac:dyDescent="0.2">
      <c r="A794" s="2"/>
      <c r="B794" s="3"/>
      <c r="C794" s="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x14ac:dyDescent="0.2">
      <c r="A795" s="2"/>
      <c r="B795" s="3"/>
      <c r="C795" s="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x14ac:dyDescent="0.2">
      <c r="A796" s="2"/>
      <c r="B796" s="3"/>
      <c r="C796" s="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x14ac:dyDescent="0.2">
      <c r="A797" s="2"/>
      <c r="B797" s="3"/>
      <c r="C797" s="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x14ac:dyDescent="0.2">
      <c r="A798" s="2"/>
      <c r="B798" s="3"/>
      <c r="C798" s="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x14ac:dyDescent="0.2">
      <c r="A799" s="2"/>
      <c r="B799" s="3"/>
      <c r="C799" s="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x14ac:dyDescent="0.2">
      <c r="A800" s="2"/>
      <c r="B800" s="3"/>
      <c r="C800" s="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x14ac:dyDescent="0.2">
      <c r="A801" s="2"/>
      <c r="B801" s="3"/>
      <c r="C801" s="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x14ac:dyDescent="0.2">
      <c r="A802" s="2"/>
      <c r="B802" s="3"/>
      <c r="C802" s="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x14ac:dyDescent="0.2">
      <c r="A803" s="2"/>
      <c r="B803" s="3"/>
      <c r="C803" s="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x14ac:dyDescent="0.2">
      <c r="A804" s="2"/>
      <c r="B804" s="3"/>
      <c r="C804" s="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x14ac:dyDescent="0.2">
      <c r="A805" s="2"/>
      <c r="B805" s="3"/>
      <c r="C805" s="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x14ac:dyDescent="0.2">
      <c r="A806" s="2"/>
      <c r="B806" s="3"/>
      <c r="C806" s="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x14ac:dyDescent="0.2">
      <c r="A807" s="2"/>
      <c r="B807" s="3"/>
      <c r="C807" s="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x14ac:dyDescent="0.2">
      <c r="A808" s="2"/>
      <c r="B808" s="3"/>
      <c r="C808" s="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x14ac:dyDescent="0.2">
      <c r="A809" s="2"/>
      <c r="B809" s="3"/>
      <c r="C809" s="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x14ac:dyDescent="0.2">
      <c r="A810" s="2"/>
      <c r="B810" s="3"/>
      <c r="C810" s="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x14ac:dyDescent="0.2">
      <c r="A811" s="2"/>
      <c r="B811" s="3"/>
      <c r="C811" s="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x14ac:dyDescent="0.2">
      <c r="A812" s="2"/>
      <c r="B812" s="3"/>
      <c r="C812" s="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x14ac:dyDescent="0.2">
      <c r="A813" s="2"/>
      <c r="B813" s="3"/>
      <c r="C813" s="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x14ac:dyDescent="0.2">
      <c r="A814" s="2"/>
      <c r="B814" s="3"/>
      <c r="C814" s="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x14ac:dyDescent="0.2">
      <c r="A815" s="2"/>
      <c r="B815" s="3"/>
      <c r="C815" s="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x14ac:dyDescent="0.2">
      <c r="A816" s="2"/>
      <c r="B816" s="3"/>
      <c r="C816" s="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x14ac:dyDescent="0.2">
      <c r="A817" s="2"/>
      <c r="B817" s="3"/>
      <c r="C817" s="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x14ac:dyDescent="0.2">
      <c r="A818" s="2"/>
      <c r="B818" s="3"/>
      <c r="C818" s="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x14ac:dyDescent="0.2">
      <c r="A819" s="2"/>
      <c r="B819" s="3"/>
      <c r="C819" s="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x14ac:dyDescent="0.2">
      <c r="A820" s="2"/>
      <c r="B820" s="3"/>
      <c r="C820" s="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x14ac:dyDescent="0.2">
      <c r="A821" s="2"/>
      <c r="B821" s="3"/>
      <c r="C821" s="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x14ac:dyDescent="0.2">
      <c r="A822" s="2"/>
      <c r="B822" s="3"/>
      <c r="C822" s="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x14ac:dyDescent="0.2">
      <c r="A823" s="2"/>
      <c r="B823" s="3"/>
      <c r="C823" s="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x14ac:dyDescent="0.2">
      <c r="A824" s="2"/>
      <c r="B824" s="3"/>
      <c r="C824" s="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x14ac:dyDescent="0.2">
      <c r="A825" s="2"/>
      <c r="B825" s="3"/>
      <c r="C825" s="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x14ac:dyDescent="0.2">
      <c r="A826" s="2"/>
      <c r="B826" s="3"/>
      <c r="C826" s="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x14ac:dyDescent="0.2">
      <c r="A827" s="2"/>
      <c r="B827" s="3"/>
      <c r="C827" s="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x14ac:dyDescent="0.2">
      <c r="A828" s="2"/>
      <c r="B828" s="3"/>
      <c r="C828" s="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x14ac:dyDescent="0.2">
      <c r="A829" s="2"/>
      <c r="B829" s="3"/>
      <c r="C829" s="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x14ac:dyDescent="0.2">
      <c r="A830" s="2"/>
      <c r="B830" s="3"/>
      <c r="C830" s="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x14ac:dyDescent="0.2">
      <c r="A831" s="2"/>
      <c r="B831" s="3"/>
      <c r="C831" s="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x14ac:dyDescent="0.2">
      <c r="A832" s="2"/>
      <c r="B832" s="3"/>
      <c r="C832" s="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x14ac:dyDescent="0.2">
      <c r="A833" s="2"/>
      <c r="B833" s="3"/>
      <c r="C833" s="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x14ac:dyDescent="0.2">
      <c r="A834" s="2"/>
      <c r="B834" s="3"/>
      <c r="C834" s="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x14ac:dyDescent="0.2">
      <c r="A835" s="2"/>
      <c r="B835" s="3"/>
      <c r="C835" s="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x14ac:dyDescent="0.2">
      <c r="A836" s="2"/>
      <c r="B836" s="3"/>
      <c r="C836" s="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x14ac:dyDescent="0.2">
      <c r="A837" s="2"/>
      <c r="B837" s="3"/>
      <c r="C837" s="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x14ac:dyDescent="0.2">
      <c r="A838" s="2"/>
      <c r="B838" s="3"/>
      <c r="C838" s="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x14ac:dyDescent="0.2">
      <c r="A839" s="2"/>
      <c r="B839" s="3"/>
      <c r="C839" s="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x14ac:dyDescent="0.2">
      <c r="A840" s="2"/>
      <c r="B840" s="3"/>
      <c r="C840" s="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x14ac:dyDescent="0.2">
      <c r="A841" s="2"/>
      <c r="B841" s="3"/>
      <c r="C841" s="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x14ac:dyDescent="0.2">
      <c r="A842" s="2"/>
      <c r="B842" s="3"/>
      <c r="C842" s="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x14ac:dyDescent="0.2">
      <c r="A843" s="2"/>
      <c r="B843" s="3"/>
      <c r="C843" s="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x14ac:dyDescent="0.2">
      <c r="A844" s="2"/>
      <c r="B844" s="3"/>
      <c r="C844" s="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x14ac:dyDescent="0.2">
      <c r="A845" s="2"/>
      <c r="B845" s="3"/>
      <c r="C845" s="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x14ac:dyDescent="0.2">
      <c r="A846" s="2"/>
      <c r="B846" s="3"/>
      <c r="C846" s="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x14ac:dyDescent="0.2">
      <c r="A847" s="2"/>
      <c r="B847" s="3"/>
      <c r="C847" s="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x14ac:dyDescent="0.2">
      <c r="A848" s="2"/>
      <c r="B848" s="3"/>
      <c r="C848" s="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x14ac:dyDescent="0.2">
      <c r="A849" s="2"/>
      <c r="B849" s="3"/>
      <c r="C849" s="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x14ac:dyDescent="0.2">
      <c r="A850" s="2"/>
      <c r="B850" s="3"/>
      <c r="C850" s="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x14ac:dyDescent="0.2">
      <c r="A851" s="2"/>
      <c r="B851" s="3"/>
      <c r="C851" s="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x14ac:dyDescent="0.2">
      <c r="A852" s="2"/>
      <c r="B852" s="3"/>
      <c r="C852" s="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x14ac:dyDescent="0.2">
      <c r="A853" s="2"/>
      <c r="B853" s="3"/>
      <c r="C853" s="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x14ac:dyDescent="0.2">
      <c r="A854" s="2"/>
      <c r="B854" s="3"/>
      <c r="C854" s="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x14ac:dyDescent="0.2">
      <c r="A855" s="2"/>
      <c r="B855" s="3"/>
      <c r="C855" s="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x14ac:dyDescent="0.2">
      <c r="A856" s="2"/>
      <c r="B856" s="3"/>
      <c r="C856" s="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x14ac:dyDescent="0.2">
      <c r="A857" s="2"/>
      <c r="B857" s="3"/>
      <c r="C857" s="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x14ac:dyDescent="0.2">
      <c r="A858" s="2"/>
      <c r="B858" s="3"/>
      <c r="C858" s="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x14ac:dyDescent="0.2">
      <c r="A859" s="2"/>
      <c r="B859" s="3"/>
      <c r="C859" s="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x14ac:dyDescent="0.2">
      <c r="A860" s="2"/>
      <c r="B860" s="3"/>
      <c r="C860" s="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x14ac:dyDescent="0.2">
      <c r="A861" s="2"/>
      <c r="B861" s="3"/>
      <c r="C861" s="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x14ac:dyDescent="0.2">
      <c r="A862" s="2"/>
      <c r="B862" s="3"/>
      <c r="C862" s="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x14ac:dyDescent="0.2">
      <c r="A863" s="2"/>
      <c r="B863" s="3"/>
      <c r="C863" s="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x14ac:dyDescent="0.2">
      <c r="A864" s="2"/>
      <c r="B864" s="3"/>
      <c r="C864" s="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x14ac:dyDescent="0.2">
      <c r="A865" s="2"/>
      <c r="B865" s="3"/>
      <c r="C865" s="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x14ac:dyDescent="0.2">
      <c r="A866" s="2"/>
      <c r="B866" s="3"/>
      <c r="C866" s="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x14ac:dyDescent="0.2">
      <c r="A867" s="2"/>
      <c r="B867" s="3"/>
      <c r="C867" s="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x14ac:dyDescent="0.2">
      <c r="A868" s="2"/>
      <c r="B868" s="3"/>
      <c r="C868" s="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x14ac:dyDescent="0.2">
      <c r="A869" s="2"/>
      <c r="B869" s="3"/>
      <c r="C869" s="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x14ac:dyDescent="0.2">
      <c r="A870" s="2"/>
      <c r="B870" s="3"/>
      <c r="C870" s="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x14ac:dyDescent="0.2">
      <c r="A871" s="2"/>
      <c r="B871" s="3"/>
      <c r="C871" s="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x14ac:dyDescent="0.2">
      <c r="A872" s="2"/>
      <c r="B872" s="3"/>
      <c r="C872" s="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x14ac:dyDescent="0.2">
      <c r="A873" s="2"/>
      <c r="B873" s="3"/>
      <c r="C873" s="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x14ac:dyDescent="0.2">
      <c r="A874" s="2"/>
      <c r="B874" s="3"/>
      <c r="C874" s="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x14ac:dyDescent="0.2">
      <c r="A875" s="2"/>
      <c r="B875" s="3"/>
      <c r="C875" s="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x14ac:dyDescent="0.2">
      <c r="A876" s="2"/>
      <c r="B876" s="3"/>
      <c r="C876" s="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x14ac:dyDescent="0.2">
      <c r="A877" s="2"/>
      <c r="B877" s="3"/>
      <c r="C877" s="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x14ac:dyDescent="0.2">
      <c r="A878" s="2"/>
      <c r="B878" s="3"/>
      <c r="C878" s="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x14ac:dyDescent="0.2">
      <c r="A879" s="2"/>
      <c r="B879" s="3"/>
      <c r="C879" s="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x14ac:dyDescent="0.2">
      <c r="A880" s="2"/>
      <c r="B880" s="3"/>
      <c r="C880" s="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x14ac:dyDescent="0.2">
      <c r="A881" s="2"/>
      <c r="B881" s="3"/>
      <c r="C881" s="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x14ac:dyDescent="0.2">
      <c r="A882" s="2"/>
      <c r="B882" s="3"/>
      <c r="C882" s="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x14ac:dyDescent="0.2">
      <c r="A883" s="2"/>
      <c r="B883" s="3"/>
      <c r="C883" s="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x14ac:dyDescent="0.2">
      <c r="A884" s="2"/>
      <c r="B884" s="3"/>
      <c r="C884" s="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x14ac:dyDescent="0.2">
      <c r="A885" s="2"/>
      <c r="B885" s="3"/>
      <c r="C885" s="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x14ac:dyDescent="0.2">
      <c r="A886" s="2"/>
      <c r="B886" s="3"/>
      <c r="C886" s="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x14ac:dyDescent="0.2">
      <c r="A887" s="2"/>
      <c r="B887" s="3"/>
      <c r="C887" s="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x14ac:dyDescent="0.2">
      <c r="A888" s="2"/>
      <c r="B888" s="3"/>
      <c r="C888" s="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x14ac:dyDescent="0.2">
      <c r="A889" s="2"/>
      <c r="B889" s="3"/>
      <c r="C889" s="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x14ac:dyDescent="0.2">
      <c r="A890" s="2"/>
      <c r="B890" s="3"/>
      <c r="C890" s="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x14ac:dyDescent="0.2">
      <c r="A891" s="2"/>
      <c r="B891" s="3"/>
      <c r="C891" s="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x14ac:dyDescent="0.2">
      <c r="A892" s="2"/>
      <c r="B892" s="3"/>
      <c r="C892" s="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x14ac:dyDescent="0.2">
      <c r="A893" s="2"/>
      <c r="B893" s="3"/>
      <c r="C893" s="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x14ac:dyDescent="0.2">
      <c r="A894" s="2"/>
      <c r="B894" s="3"/>
      <c r="C894" s="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x14ac:dyDescent="0.2">
      <c r="A895" s="2"/>
      <c r="B895" s="3"/>
      <c r="C895" s="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x14ac:dyDescent="0.2">
      <c r="A896" s="2"/>
      <c r="B896" s="3"/>
      <c r="C896" s="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x14ac:dyDescent="0.2">
      <c r="A897" s="2"/>
      <c r="B897" s="3"/>
      <c r="C897" s="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x14ac:dyDescent="0.2">
      <c r="A898" s="2"/>
      <c r="B898" s="3"/>
      <c r="C898" s="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x14ac:dyDescent="0.2">
      <c r="A899" s="2"/>
      <c r="B899" s="3"/>
      <c r="C899" s="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x14ac:dyDescent="0.2">
      <c r="A900" s="2"/>
      <c r="B900" s="3"/>
      <c r="C900" s="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x14ac:dyDescent="0.2">
      <c r="A901" s="2"/>
      <c r="B901" s="3"/>
      <c r="C901" s="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x14ac:dyDescent="0.2">
      <c r="A902" s="2"/>
      <c r="B902" s="3"/>
      <c r="C902" s="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x14ac:dyDescent="0.2">
      <c r="A903" s="2"/>
      <c r="B903" s="3"/>
      <c r="C903" s="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x14ac:dyDescent="0.2">
      <c r="A904" s="2"/>
      <c r="B904" s="3"/>
      <c r="C904" s="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x14ac:dyDescent="0.2">
      <c r="A905" s="2"/>
      <c r="B905" s="3"/>
      <c r="C905" s="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x14ac:dyDescent="0.2">
      <c r="A906" s="2"/>
      <c r="B906" s="3"/>
      <c r="C906" s="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x14ac:dyDescent="0.2">
      <c r="A907" s="2"/>
      <c r="B907" s="3"/>
      <c r="C907" s="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x14ac:dyDescent="0.2">
      <c r="A908" s="2"/>
      <c r="B908" s="3"/>
      <c r="C908" s="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x14ac:dyDescent="0.2">
      <c r="A909" s="2"/>
      <c r="B909" s="3"/>
      <c r="C909" s="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x14ac:dyDescent="0.2">
      <c r="A910" s="2"/>
      <c r="B910" s="3"/>
      <c r="C910" s="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x14ac:dyDescent="0.2">
      <c r="A911" s="2"/>
      <c r="B911" s="3"/>
      <c r="C911" s="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x14ac:dyDescent="0.2">
      <c r="A912" s="2"/>
      <c r="B912" s="3"/>
      <c r="C912" s="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x14ac:dyDescent="0.2">
      <c r="A913" s="2"/>
      <c r="B913" s="3"/>
      <c r="C913" s="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x14ac:dyDescent="0.2">
      <c r="A914" s="2"/>
      <c r="B914" s="3"/>
      <c r="C914" s="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x14ac:dyDescent="0.2">
      <c r="A915" s="2"/>
      <c r="B915" s="3"/>
      <c r="C915" s="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x14ac:dyDescent="0.2">
      <c r="A916" s="2"/>
      <c r="B916" s="3"/>
      <c r="C916" s="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x14ac:dyDescent="0.2">
      <c r="A917" s="2"/>
      <c r="B917" s="3"/>
      <c r="C917" s="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x14ac:dyDescent="0.2">
      <c r="A918" s="2"/>
      <c r="B918" s="3"/>
      <c r="C918" s="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x14ac:dyDescent="0.2">
      <c r="A919" s="2"/>
      <c r="B919" s="3"/>
      <c r="C919" s="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x14ac:dyDescent="0.2">
      <c r="A920" s="2"/>
      <c r="B920" s="3"/>
      <c r="C920" s="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x14ac:dyDescent="0.2">
      <c r="A921" s="2"/>
      <c r="B921" s="3"/>
      <c r="C921" s="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x14ac:dyDescent="0.2">
      <c r="A922" s="2"/>
      <c r="B922" s="3"/>
      <c r="C922" s="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x14ac:dyDescent="0.2">
      <c r="A923" s="2"/>
      <c r="B923" s="3"/>
      <c r="C923" s="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x14ac:dyDescent="0.2">
      <c r="A924" s="2"/>
      <c r="B924" s="3"/>
      <c r="C924" s="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x14ac:dyDescent="0.2">
      <c r="A925" s="2"/>
      <c r="B925" s="3"/>
      <c r="C925" s="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x14ac:dyDescent="0.2">
      <c r="A926" s="2"/>
      <c r="B926" s="3"/>
      <c r="C926" s="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x14ac:dyDescent="0.2">
      <c r="A927" s="2"/>
      <c r="B927" s="3"/>
      <c r="C927" s="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x14ac:dyDescent="0.2">
      <c r="A928" s="2"/>
      <c r="B928" s="3"/>
      <c r="C928" s="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x14ac:dyDescent="0.2">
      <c r="A929" s="2"/>
      <c r="B929" s="3"/>
      <c r="C929" s="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x14ac:dyDescent="0.2">
      <c r="A930" s="2"/>
      <c r="B930" s="3"/>
      <c r="C930" s="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x14ac:dyDescent="0.2">
      <c r="A931" s="2"/>
      <c r="B931" s="3"/>
      <c r="C931" s="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x14ac:dyDescent="0.2">
      <c r="A932" s="2"/>
      <c r="B932" s="3"/>
      <c r="C932" s="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x14ac:dyDescent="0.2">
      <c r="A933" s="2"/>
      <c r="B933" s="3"/>
      <c r="C933" s="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x14ac:dyDescent="0.2">
      <c r="A934" s="2"/>
      <c r="B934" s="3"/>
      <c r="C934" s="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x14ac:dyDescent="0.2">
      <c r="A935" s="2"/>
      <c r="B935" s="3"/>
      <c r="C935" s="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x14ac:dyDescent="0.2">
      <c r="A936" s="2"/>
      <c r="B936" s="3"/>
      <c r="C936" s="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x14ac:dyDescent="0.2">
      <c r="A937" s="2"/>
      <c r="B937" s="3"/>
      <c r="C937" s="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x14ac:dyDescent="0.2">
      <c r="A938" s="2"/>
      <c r="B938" s="3"/>
      <c r="C938" s="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x14ac:dyDescent="0.2">
      <c r="A939" s="2"/>
      <c r="B939" s="3"/>
      <c r="C939" s="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x14ac:dyDescent="0.2">
      <c r="A940" s="2"/>
      <c r="B940" s="3"/>
      <c r="C940" s="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x14ac:dyDescent="0.2">
      <c r="A941" s="2"/>
      <c r="B941" s="3"/>
      <c r="C941" s="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x14ac:dyDescent="0.2">
      <c r="A942" s="2"/>
      <c r="B942" s="3"/>
      <c r="C942" s="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x14ac:dyDescent="0.2">
      <c r="A943" s="2"/>
      <c r="B943" s="3"/>
      <c r="C943" s="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x14ac:dyDescent="0.2">
      <c r="A944" s="2"/>
      <c r="B944" s="3"/>
      <c r="C944" s="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x14ac:dyDescent="0.2">
      <c r="A945" s="2"/>
      <c r="B945" s="3"/>
      <c r="C945" s="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x14ac:dyDescent="0.2">
      <c r="A946" s="2"/>
      <c r="B946" s="3"/>
      <c r="C946" s="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x14ac:dyDescent="0.2">
      <c r="A947" s="2"/>
      <c r="B947" s="3"/>
      <c r="C947" s="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x14ac:dyDescent="0.2">
      <c r="A948" s="2"/>
      <c r="B948" s="3"/>
      <c r="C948" s="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x14ac:dyDescent="0.2">
      <c r="A949" s="2"/>
      <c r="B949" s="3"/>
      <c r="C949" s="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x14ac:dyDescent="0.2">
      <c r="A950" s="2"/>
      <c r="B950" s="3"/>
      <c r="C950" s="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x14ac:dyDescent="0.2">
      <c r="A951" s="2"/>
      <c r="B951" s="3"/>
      <c r="C951" s="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x14ac:dyDescent="0.2">
      <c r="A952" s="2"/>
      <c r="B952" s="3"/>
      <c r="C952" s="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x14ac:dyDescent="0.2">
      <c r="A953" s="2"/>
      <c r="B953" s="3"/>
      <c r="C953" s="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x14ac:dyDescent="0.2">
      <c r="A954" s="2"/>
      <c r="B954" s="3"/>
      <c r="C954" s="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x14ac:dyDescent="0.2">
      <c r="A955" s="2"/>
      <c r="B955" s="3"/>
      <c r="C955" s="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x14ac:dyDescent="0.2">
      <c r="A956" s="2"/>
      <c r="B956" s="3"/>
      <c r="C956" s="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x14ac:dyDescent="0.2">
      <c r="A957" s="2"/>
      <c r="B957" s="3"/>
      <c r="C957" s="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x14ac:dyDescent="0.2">
      <c r="A958" s="2"/>
      <c r="B958" s="3"/>
      <c r="C958" s="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x14ac:dyDescent="0.2">
      <c r="A959" s="2"/>
      <c r="B959" s="3"/>
      <c r="C959" s="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x14ac:dyDescent="0.2">
      <c r="A960" s="2"/>
      <c r="B960" s="3"/>
      <c r="C960" s="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x14ac:dyDescent="0.2">
      <c r="A961" s="2"/>
      <c r="B961" s="3"/>
      <c r="C961" s="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x14ac:dyDescent="0.2">
      <c r="A962" s="2"/>
      <c r="B962" s="3"/>
      <c r="C962" s="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x14ac:dyDescent="0.2">
      <c r="A963" s="2"/>
      <c r="B963" s="3"/>
      <c r="C963" s="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x14ac:dyDescent="0.2">
      <c r="A964" s="2"/>
      <c r="B964" s="3"/>
      <c r="C964" s="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x14ac:dyDescent="0.2">
      <c r="A965" s="2"/>
      <c r="B965" s="3"/>
      <c r="C965" s="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x14ac:dyDescent="0.2">
      <c r="A966" s="2"/>
      <c r="B966" s="3"/>
      <c r="C966" s="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x14ac:dyDescent="0.2">
      <c r="A967" s="2"/>
      <c r="B967" s="3"/>
      <c r="C967" s="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x14ac:dyDescent="0.2">
      <c r="A968" s="2"/>
      <c r="B968" s="3"/>
      <c r="C968" s="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x14ac:dyDescent="0.2">
      <c r="A969" s="2"/>
      <c r="B969" s="3"/>
      <c r="C969" s="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x14ac:dyDescent="0.2">
      <c r="A970" s="2"/>
      <c r="B970" s="3"/>
      <c r="C970" s="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x14ac:dyDescent="0.2">
      <c r="A971" s="2"/>
      <c r="B971" s="3"/>
      <c r="C971" s="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x14ac:dyDescent="0.2">
      <c r="A972" s="2"/>
      <c r="B972" s="3"/>
      <c r="C972" s="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x14ac:dyDescent="0.2">
      <c r="A973" s="2"/>
      <c r="B973" s="3"/>
      <c r="C973" s="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x14ac:dyDescent="0.2">
      <c r="A974" s="2"/>
      <c r="B974" s="3"/>
      <c r="C974" s="3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x14ac:dyDescent="0.2">
      <c r="A975" s="2"/>
      <c r="B975" s="3"/>
      <c r="C975" s="3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x14ac:dyDescent="0.2">
      <c r="A976" s="2"/>
      <c r="B976" s="3"/>
      <c r="C976" s="3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x14ac:dyDescent="0.2">
      <c r="A977" s="2"/>
      <c r="B977" s="3"/>
      <c r="C977" s="3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x14ac:dyDescent="0.2">
      <c r="A978" s="2"/>
      <c r="B978" s="3"/>
      <c r="C978" s="3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x14ac:dyDescent="0.2">
      <c r="A979" s="2"/>
      <c r="B979" s="3"/>
      <c r="C979" s="3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x14ac:dyDescent="0.2">
      <c r="A980" s="2"/>
      <c r="B980" s="3"/>
      <c r="C980" s="3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x14ac:dyDescent="0.2">
      <c r="A981" s="2"/>
      <c r="B981" s="3"/>
      <c r="C981" s="3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x14ac:dyDescent="0.2">
      <c r="A982" s="2"/>
      <c r="B982" s="3"/>
      <c r="C982" s="3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x14ac:dyDescent="0.2">
      <c r="A983" s="2"/>
      <c r="B983" s="3"/>
      <c r="C983" s="3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x14ac:dyDescent="0.2">
      <c r="A984" s="2"/>
      <c r="B984" s="3"/>
      <c r="C984" s="3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x14ac:dyDescent="0.2">
      <c r="A985" s="2"/>
      <c r="B985" s="3"/>
      <c r="C985" s="3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x14ac:dyDescent="0.2">
      <c r="A986" s="2"/>
      <c r="B986" s="3"/>
      <c r="C986" s="3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x14ac:dyDescent="0.2">
      <c r="A987" s="2"/>
      <c r="B987" s="3"/>
      <c r="C987" s="3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x14ac:dyDescent="0.2">
      <c r="A988" s="2"/>
      <c r="B988" s="3"/>
      <c r="C988" s="3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x14ac:dyDescent="0.2">
      <c r="A989" s="2"/>
      <c r="B989" s="3"/>
      <c r="C989" s="3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x14ac:dyDescent="0.2">
      <c r="A990" s="2"/>
      <c r="B990" s="3"/>
      <c r="C990" s="3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x14ac:dyDescent="0.2">
      <c r="A991" s="2"/>
      <c r="B991" s="3"/>
      <c r="C991" s="3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x14ac:dyDescent="0.2">
      <c r="A992" s="2"/>
      <c r="B992" s="3"/>
      <c r="C992" s="3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x14ac:dyDescent="0.2">
      <c r="A993" s="2"/>
      <c r="B993" s="3"/>
      <c r="C993" s="3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x14ac:dyDescent="0.2">
      <c r="A994" s="2"/>
      <c r="B994" s="3"/>
      <c r="C994" s="3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2.75" x14ac:dyDescent="0.2">
      <c r="A995" s="2"/>
      <c r="B995" s="3"/>
      <c r="C995" s="3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2.75" x14ac:dyDescent="0.2">
      <c r="A996" s="2"/>
      <c r="B996" s="3"/>
      <c r="C996" s="3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2.75" x14ac:dyDescent="0.2">
      <c r="A997" s="2"/>
      <c r="B997" s="3"/>
      <c r="C997" s="3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2.75" x14ac:dyDescent="0.2">
      <c r="A998" s="2"/>
      <c r="B998" s="3"/>
      <c r="C998" s="3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2.75" x14ac:dyDescent="0.2">
      <c r="A999" s="2"/>
      <c r="B999" s="3"/>
      <c r="C999" s="3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2.75" x14ac:dyDescent="0.2">
      <c r="A1000" s="2"/>
      <c r="B1000" s="3"/>
      <c r="C1000" s="3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spans="1:25" ht="12.75" x14ac:dyDescent="0.2">
      <c r="A1001" s="2"/>
      <c r="B1001" s="3"/>
      <c r="C1001" s="3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spans="1:25" ht="12.75" x14ac:dyDescent="0.2">
      <c r="A1002" s="2"/>
      <c r="B1002" s="3"/>
      <c r="C1002" s="3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spans="1:25" ht="12.75" x14ac:dyDescent="0.2">
      <c r="A1003" s="2"/>
      <c r="B1003" s="3"/>
      <c r="C1003" s="3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 spans="1:25" ht="12.75" x14ac:dyDescent="0.2">
      <c r="A1004" s="2"/>
      <c r="B1004" s="3"/>
      <c r="C1004" s="3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 spans="1:25" ht="12.75" x14ac:dyDescent="0.2">
      <c r="A1005" s="2"/>
      <c r="B1005" s="3"/>
      <c r="C1005" s="3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 spans="1:25" ht="12.75" x14ac:dyDescent="0.2">
      <c r="A1006" s="2"/>
      <c r="B1006" s="3"/>
      <c r="C1006" s="3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 spans="1:25" ht="12.75" x14ac:dyDescent="0.2">
      <c r="A1007" s="2"/>
      <c r="B1007" s="3"/>
      <c r="C1007" s="3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 spans="1:25" ht="12.75" x14ac:dyDescent="0.2">
      <c r="A1008" s="2"/>
      <c r="B1008" s="3"/>
      <c r="C1008" s="3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 spans="1:25" ht="12.75" x14ac:dyDescent="0.2">
      <c r="A1009" s="2"/>
      <c r="B1009" s="3"/>
      <c r="C1009" s="3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 spans="1:25" ht="12.75" x14ac:dyDescent="0.2">
      <c r="A1010" s="2"/>
      <c r="B1010" s="3"/>
      <c r="C1010" s="3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 spans="1:25" ht="12.75" x14ac:dyDescent="0.2">
      <c r="A1011" s="2"/>
      <c r="B1011" s="3"/>
      <c r="C1011" s="3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 spans="1:25" ht="12.75" x14ac:dyDescent="0.2">
      <c r="A1012" s="2"/>
      <c r="B1012" s="3"/>
      <c r="C1012" s="3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 spans="1:25" ht="12.75" x14ac:dyDescent="0.2">
      <c r="A1013" s="2"/>
      <c r="B1013" s="3"/>
      <c r="C1013" s="3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 spans="1:25" ht="12.75" x14ac:dyDescent="0.2">
      <c r="A1014" s="2"/>
      <c r="B1014" s="3"/>
      <c r="C1014" s="3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 spans="1:25" ht="12.75" x14ac:dyDescent="0.2">
      <c r="A1015" s="2"/>
      <c r="B1015" s="3"/>
      <c r="C1015" s="3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 spans="1:25" ht="12.75" x14ac:dyDescent="0.2">
      <c r="A1016" s="2"/>
      <c r="B1016" s="3"/>
      <c r="C1016" s="3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 spans="1:25" ht="12.75" x14ac:dyDescent="0.2">
      <c r="A1017" s="2"/>
      <c r="B1017" s="3"/>
      <c r="C1017" s="3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 spans="1:25" ht="12.75" x14ac:dyDescent="0.2">
      <c r="A1018" s="2"/>
      <c r="B1018" s="3"/>
      <c r="C1018" s="3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 spans="1:25" ht="12.75" x14ac:dyDescent="0.2">
      <c r="A1019" s="2"/>
      <c r="B1019" s="3"/>
      <c r="C1019" s="3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 spans="1:25" ht="12.75" x14ac:dyDescent="0.2">
      <c r="A1020" s="2"/>
      <c r="B1020" s="3"/>
      <c r="C1020" s="3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 spans="1:25" ht="12.75" x14ac:dyDescent="0.2">
      <c r="A1021" s="2"/>
      <c r="B1021" s="3"/>
      <c r="C1021" s="3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 spans="1:25" ht="12.75" x14ac:dyDescent="0.2">
      <c r="A1022" s="2"/>
      <c r="B1022" s="3"/>
      <c r="C1022" s="3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 spans="1:25" ht="12.75" x14ac:dyDescent="0.2">
      <c r="A1023" s="2"/>
      <c r="B1023" s="3"/>
      <c r="C1023" s="3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 spans="1:25" ht="12.75" x14ac:dyDescent="0.2">
      <c r="A1024" s="2"/>
      <c r="B1024" s="3"/>
      <c r="C1024" s="3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  <row r="1025" spans="1:25" ht="12.75" x14ac:dyDescent="0.2">
      <c r="A1025" s="2"/>
      <c r="B1025" s="3"/>
      <c r="C1025" s="3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 spans="1:25" ht="12.75" x14ac:dyDescent="0.2">
      <c r="A1026" s="2"/>
      <c r="B1026" s="3"/>
      <c r="C1026" s="3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 spans="1:25" ht="12.75" x14ac:dyDescent="0.2">
      <c r="A1027" s="2"/>
      <c r="B1027" s="3"/>
      <c r="C1027" s="3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 spans="1:25" ht="12.75" x14ac:dyDescent="0.2">
      <c r="A1028" s="2"/>
      <c r="B1028" s="3"/>
      <c r="C1028" s="3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  <row r="1029" spans="1:25" ht="12.75" x14ac:dyDescent="0.2">
      <c r="A1029" s="2"/>
      <c r="B1029" s="3"/>
      <c r="C1029" s="3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</row>
    <row r="1030" spans="1:25" ht="12.75" x14ac:dyDescent="0.2">
      <c r="A1030" s="2"/>
      <c r="B1030" s="3"/>
      <c r="C1030" s="3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</row>
    <row r="1031" spans="1:25" ht="12.75" x14ac:dyDescent="0.2">
      <c r="A1031" s="2"/>
      <c r="B1031" s="3"/>
      <c r="C1031" s="3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</row>
    <row r="1032" spans="1:25" ht="12.75" x14ac:dyDescent="0.2">
      <c r="A1032" s="2"/>
      <c r="B1032" s="3"/>
      <c r="C1032" s="3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</row>
    <row r="1033" spans="1:25" ht="12.75" x14ac:dyDescent="0.2">
      <c r="A1033" s="2"/>
      <c r="B1033" s="3"/>
      <c r="C1033" s="3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</row>
    <row r="1034" spans="1:25" ht="12.75" x14ac:dyDescent="0.2">
      <c r="A1034" s="2"/>
      <c r="B1034" s="3"/>
      <c r="C1034" s="3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</row>
    <row r="1035" spans="1:25" ht="12.75" x14ac:dyDescent="0.2">
      <c r="A1035" s="2"/>
      <c r="B1035" s="3"/>
      <c r="C1035" s="3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</row>
    <row r="1036" spans="1:25" ht="12.75" x14ac:dyDescent="0.2">
      <c r="A1036" s="2"/>
      <c r="B1036" s="3"/>
      <c r="C1036" s="3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</row>
    <row r="1037" spans="1:25" ht="12.75" x14ac:dyDescent="0.2">
      <c r="A1037" s="2"/>
      <c r="B1037" s="3"/>
      <c r="C1037" s="3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</row>
    <row r="1038" spans="1:25" ht="12.75" x14ac:dyDescent="0.2">
      <c r="A1038" s="2"/>
      <c r="B1038" s="3"/>
      <c r="C1038" s="3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</row>
    <row r="1039" spans="1:25" ht="12.75" x14ac:dyDescent="0.2">
      <c r="A1039" s="2"/>
      <c r="B1039" s="3"/>
      <c r="C1039" s="3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</row>
    <row r="1040" spans="1:25" ht="12.75" x14ac:dyDescent="0.2">
      <c r="A1040" s="2"/>
      <c r="B1040" s="3"/>
      <c r="C1040" s="3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</row>
    <row r="1041" spans="1:25" ht="12.75" x14ac:dyDescent="0.2">
      <c r="A1041" s="2"/>
      <c r="B1041" s="3"/>
      <c r="C1041" s="3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</row>
    <row r="1042" spans="1:25" ht="12.75" x14ac:dyDescent="0.2">
      <c r="A1042" s="2"/>
      <c r="B1042" s="3"/>
      <c r="C1042" s="3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</row>
    <row r="1043" spans="1:25" ht="12.75" x14ac:dyDescent="0.2">
      <c r="A1043" s="2"/>
      <c r="B1043" s="3"/>
      <c r="C1043" s="3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</row>
    <row r="1044" spans="1:25" ht="12.75" x14ac:dyDescent="0.2">
      <c r="A1044" s="2"/>
      <c r="B1044" s="3"/>
      <c r="C1044" s="3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</row>
    <row r="1045" spans="1:25" ht="12.75" x14ac:dyDescent="0.2">
      <c r="A1045" s="2"/>
      <c r="B1045" s="3"/>
      <c r="C1045" s="3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</row>
    <row r="1046" spans="1:25" ht="12.75" x14ac:dyDescent="0.2">
      <c r="A1046" s="2"/>
      <c r="B1046" s="3"/>
      <c r="C1046" s="3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</row>
    <row r="1047" spans="1:25" ht="12.75" x14ac:dyDescent="0.2">
      <c r="A1047" s="2"/>
      <c r="B1047" s="3"/>
      <c r="C1047" s="3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</row>
    <row r="1048" spans="1:25" ht="12.75" x14ac:dyDescent="0.2">
      <c r="A1048" s="2"/>
      <c r="B1048" s="3"/>
      <c r="C1048" s="3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</row>
    <row r="1049" spans="1:25" ht="12.75" x14ac:dyDescent="0.2">
      <c r="A1049" s="2"/>
      <c r="B1049" s="3"/>
      <c r="C1049" s="3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</row>
    <row r="1050" spans="1:25" ht="12.75" x14ac:dyDescent="0.2">
      <c r="A1050" s="2"/>
      <c r="B1050" s="3"/>
      <c r="C1050" s="3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</row>
    <row r="1051" spans="1:25" ht="12.75" x14ac:dyDescent="0.2">
      <c r="A1051" s="2"/>
      <c r="B1051" s="3"/>
      <c r="C1051" s="3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</row>
    <row r="1052" spans="1:25" ht="12.75" x14ac:dyDescent="0.2">
      <c r="A1052" s="2"/>
      <c r="B1052" s="3"/>
      <c r="C1052" s="3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</row>
    <row r="1053" spans="1:25" ht="12.75" x14ac:dyDescent="0.2">
      <c r="A1053" s="2"/>
      <c r="B1053" s="3"/>
      <c r="C1053" s="3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</row>
    <row r="1054" spans="1:25" ht="12.75" x14ac:dyDescent="0.2">
      <c r="A1054" s="2"/>
      <c r="B1054" s="3"/>
      <c r="C1054" s="3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</row>
    <row r="1055" spans="1:25" ht="12.75" x14ac:dyDescent="0.2">
      <c r="A1055" s="2"/>
      <c r="B1055" s="3"/>
      <c r="C1055" s="3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</row>
    <row r="1056" spans="1:25" ht="12.75" x14ac:dyDescent="0.2">
      <c r="A1056" s="2"/>
      <c r="B1056" s="3"/>
      <c r="C1056" s="3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</row>
    <row r="1057" spans="1:25" ht="12.75" x14ac:dyDescent="0.2">
      <c r="A1057" s="2"/>
      <c r="B1057" s="3"/>
      <c r="C1057" s="3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</row>
    <row r="1058" spans="1:25" ht="12.75" x14ac:dyDescent="0.2">
      <c r="A1058" s="2"/>
      <c r="B1058" s="3"/>
      <c r="C1058" s="3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</row>
    <row r="1059" spans="1:25" ht="12.75" x14ac:dyDescent="0.2">
      <c r="A1059" s="2"/>
      <c r="B1059" s="3"/>
      <c r="C1059" s="3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</row>
    <row r="1060" spans="1:25" ht="12.75" x14ac:dyDescent="0.2">
      <c r="A1060" s="2"/>
      <c r="B1060" s="3"/>
      <c r="C1060" s="3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</row>
    <row r="1061" spans="1:25" ht="12.75" x14ac:dyDescent="0.2">
      <c r="A1061" s="2"/>
      <c r="B1061" s="3"/>
      <c r="C1061" s="3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</row>
    <row r="1062" spans="1:25" ht="12.75" x14ac:dyDescent="0.2">
      <c r="A1062" s="2"/>
      <c r="B1062" s="3"/>
      <c r="C1062" s="3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</row>
    <row r="1063" spans="1:25" ht="12.75" x14ac:dyDescent="0.2">
      <c r="A1063" s="2"/>
      <c r="B1063" s="3"/>
      <c r="C1063" s="3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</row>
    <row r="1064" spans="1:25" ht="12.75" x14ac:dyDescent="0.2">
      <c r="A1064" s="2"/>
      <c r="B1064" s="3"/>
      <c r="C1064" s="3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</row>
    <row r="1065" spans="1:25" ht="12.75" x14ac:dyDescent="0.2">
      <c r="A1065" s="2"/>
      <c r="B1065" s="3"/>
      <c r="C1065" s="3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</row>
    <row r="1066" spans="1:25" ht="12.75" x14ac:dyDescent="0.2">
      <c r="A1066" s="2"/>
      <c r="B1066" s="3"/>
      <c r="C1066" s="3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</row>
    <row r="1067" spans="1:25" ht="12.75" x14ac:dyDescent="0.2">
      <c r="A1067" s="2"/>
      <c r="B1067" s="3"/>
      <c r="C1067" s="3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</row>
    <row r="1068" spans="1:25" ht="12.75" x14ac:dyDescent="0.2">
      <c r="A1068" s="2"/>
      <c r="B1068" s="3"/>
      <c r="C1068" s="3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</row>
    <row r="1069" spans="1:25" ht="12.75" x14ac:dyDescent="0.2">
      <c r="A1069" s="2"/>
      <c r="B1069" s="3"/>
      <c r="C1069" s="3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</row>
    <row r="1070" spans="1:25" ht="12.75" x14ac:dyDescent="0.2">
      <c r="A1070" s="2"/>
      <c r="B1070" s="3"/>
      <c r="C1070" s="3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</row>
    <row r="1071" spans="1:25" ht="12.75" x14ac:dyDescent="0.2">
      <c r="A1071" s="2"/>
      <c r="B1071" s="3"/>
      <c r="C1071" s="3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</row>
    <row r="1072" spans="1:25" ht="12.75" x14ac:dyDescent="0.2">
      <c r="A1072" s="2"/>
      <c r="B1072" s="3"/>
      <c r="C1072" s="3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</row>
    <row r="1073" spans="1:25" ht="12.75" x14ac:dyDescent="0.2">
      <c r="A1073" s="2"/>
      <c r="B1073" s="3"/>
      <c r="C1073" s="3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</row>
    <row r="1074" spans="1:25" ht="12.75" x14ac:dyDescent="0.2">
      <c r="A1074" s="2"/>
      <c r="B1074" s="3"/>
      <c r="C1074" s="3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</row>
    <row r="1075" spans="1:25" ht="12.75" x14ac:dyDescent="0.2">
      <c r="A1075" s="2"/>
      <c r="B1075" s="3"/>
      <c r="C1075" s="3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</row>
    <row r="1076" spans="1:25" ht="12.75" x14ac:dyDescent="0.2">
      <c r="A1076" s="2"/>
      <c r="B1076" s="3"/>
      <c r="C1076" s="3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</row>
    <row r="1077" spans="1:25" ht="12.75" x14ac:dyDescent="0.2">
      <c r="A1077" s="2"/>
      <c r="B1077" s="3"/>
      <c r="C1077" s="3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</row>
    <row r="1078" spans="1:25" ht="12.75" x14ac:dyDescent="0.2">
      <c r="A1078" s="2"/>
      <c r="B1078" s="3"/>
      <c r="C1078" s="3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</row>
    <row r="1079" spans="1:25" ht="12.75" x14ac:dyDescent="0.2">
      <c r="A1079" s="2"/>
      <c r="B1079" s="3"/>
      <c r="C1079" s="3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</row>
    <row r="1080" spans="1:25" ht="12.75" x14ac:dyDescent="0.2">
      <c r="A1080" s="2"/>
      <c r="B1080" s="3"/>
      <c r="C1080" s="3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</row>
  </sheetData>
  <mergeCells count="4">
    <mergeCell ref="A2:D2"/>
    <mergeCell ref="A34:D34"/>
    <mergeCell ref="A71:D71"/>
    <mergeCell ref="A104:D10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986"/>
  <sheetViews>
    <sheetView tabSelected="1" topLeftCell="A104" workbookViewId="0">
      <selection activeCell="M109" sqref="M109:N138"/>
    </sheetView>
  </sheetViews>
  <sheetFormatPr defaultColWidth="12.5703125" defaultRowHeight="15.75" customHeight="1" x14ac:dyDescent="0.2"/>
  <cols>
    <col min="1" max="1" width="24.42578125" customWidth="1"/>
    <col min="2" max="2" width="15.42578125" customWidth="1"/>
    <col min="4" max="4" width="13.5703125" customWidth="1"/>
    <col min="5" max="5" width="17.7109375" customWidth="1"/>
    <col min="7" max="7" width="15.7109375" customWidth="1"/>
    <col min="8" max="8" width="16" customWidth="1"/>
    <col min="10" max="10" width="13.5703125" customWidth="1"/>
    <col min="11" max="11" width="17.5703125" customWidth="1"/>
    <col min="13" max="13" width="15.7109375" bestFit="1" customWidth="1"/>
    <col min="14" max="14" width="15.42578125" customWidth="1"/>
  </cols>
  <sheetData>
    <row r="1" spans="1:22" ht="12.75" x14ac:dyDescent="0.2">
      <c r="A1" s="107" t="s">
        <v>72</v>
      </c>
      <c r="B1" s="108"/>
      <c r="C1" s="12"/>
      <c r="D1" s="107" t="s">
        <v>71</v>
      </c>
      <c r="E1" s="108"/>
      <c r="F1" s="12"/>
      <c r="G1" s="107" t="s">
        <v>70</v>
      </c>
      <c r="H1" s="108"/>
      <c r="I1" s="12"/>
      <c r="J1" s="107" t="s">
        <v>34</v>
      </c>
      <c r="K1" s="108"/>
      <c r="L1" s="12"/>
      <c r="O1" s="12"/>
      <c r="P1" s="12"/>
      <c r="Q1" s="12"/>
      <c r="R1" s="12"/>
      <c r="S1" s="12"/>
      <c r="T1" s="12"/>
      <c r="U1" s="12"/>
      <c r="V1" s="12"/>
    </row>
    <row r="2" spans="1:22" ht="12.75" x14ac:dyDescent="0.2">
      <c r="A2" s="78" t="s">
        <v>73</v>
      </c>
      <c r="B2" s="79" t="s">
        <v>74</v>
      </c>
      <c r="C2" s="12"/>
      <c r="D2" s="78" t="s">
        <v>73</v>
      </c>
      <c r="E2" s="79" t="s">
        <v>74</v>
      </c>
      <c r="F2" s="12"/>
      <c r="G2" s="78" t="s">
        <v>73</v>
      </c>
      <c r="H2" s="79" t="s">
        <v>74</v>
      </c>
      <c r="I2" s="12"/>
      <c r="J2" s="78" t="s">
        <v>73</v>
      </c>
      <c r="K2" s="79" t="s">
        <v>74</v>
      </c>
      <c r="L2" s="12"/>
      <c r="O2" s="12"/>
      <c r="P2" s="12"/>
      <c r="Q2" s="12"/>
      <c r="R2" s="12"/>
      <c r="S2" s="12"/>
      <c r="T2" s="12"/>
      <c r="U2" s="12"/>
      <c r="V2" s="12"/>
    </row>
    <row r="3" spans="1:22" ht="12.75" x14ac:dyDescent="0.2">
      <c r="A3" s="80">
        <v>110000</v>
      </c>
      <c r="B3" s="81">
        <v>5200</v>
      </c>
      <c r="C3" s="12"/>
      <c r="D3" s="80">
        <v>110000</v>
      </c>
      <c r="E3" s="82">
        <v>4200</v>
      </c>
      <c r="F3" s="12"/>
      <c r="G3" s="80">
        <v>110000</v>
      </c>
      <c r="H3" s="82">
        <v>4200</v>
      </c>
      <c r="I3" s="12"/>
      <c r="J3" s="80">
        <v>110000</v>
      </c>
      <c r="K3" s="83">
        <v>3100</v>
      </c>
      <c r="L3" s="12"/>
      <c r="O3" s="12"/>
      <c r="P3" s="12"/>
      <c r="Q3" s="12"/>
      <c r="R3" s="12"/>
      <c r="S3" s="12"/>
      <c r="T3" s="12"/>
      <c r="U3" s="12"/>
      <c r="V3" s="12"/>
    </row>
    <row r="4" spans="1:22" ht="12.75" x14ac:dyDescent="0.2">
      <c r="A4" s="84">
        <f t="shared" ref="A4:A61" si="0">A3+5000</f>
        <v>115000</v>
      </c>
      <c r="B4" s="85">
        <f t="shared" ref="B4:B10" si="1">B3+300</f>
        <v>5500</v>
      </c>
      <c r="C4" s="12"/>
      <c r="D4" s="84">
        <f t="shared" ref="D4:D61" si="2">D3+5000</f>
        <v>115000</v>
      </c>
      <c r="E4" s="86">
        <f>E3+200</f>
        <v>4400</v>
      </c>
      <c r="F4" s="12"/>
      <c r="G4" s="84">
        <f t="shared" ref="G4:G61" si="3">G3+5000</f>
        <v>115000</v>
      </c>
      <c r="H4" s="86">
        <f>H3+200</f>
        <v>4400</v>
      </c>
      <c r="I4" s="12"/>
      <c r="J4" s="84">
        <f t="shared" ref="J4:J61" si="4">J3+5000</f>
        <v>115000</v>
      </c>
      <c r="K4" s="86">
        <f>K3+150</f>
        <v>3250</v>
      </c>
      <c r="L4" s="12"/>
      <c r="O4" s="12"/>
      <c r="P4" s="12"/>
      <c r="Q4" s="12"/>
      <c r="R4" s="12"/>
      <c r="S4" s="12"/>
      <c r="T4" s="12"/>
      <c r="U4" s="12"/>
      <c r="V4" s="12"/>
    </row>
    <row r="5" spans="1:22" ht="12.75" x14ac:dyDescent="0.2">
      <c r="A5" s="80">
        <f t="shared" si="0"/>
        <v>120000</v>
      </c>
      <c r="B5" s="85">
        <f t="shared" si="1"/>
        <v>5800</v>
      </c>
      <c r="C5" s="12"/>
      <c r="D5" s="80">
        <f t="shared" si="2"/>
        <v>120000</v>
      </c>
      <c r="E5" s="86">
        <f t="shared" ref="E5:E10" si="5">E4+150</f>
        <v>4550</v>
      </c>
      <c r="F5" s="12"/>
      <c r="G5" s="80">
        <f t="shared" si="3"/>
        <v>120000</v>
      </c>
      <c r="H5" s="86">
        <f t="shared" ref="H5:H10" si="6">H4+150</f>
        <v>4550</v>
      </c>
      <c r="I5" s="12"/>
      <c r="J5" s="80">
        <f t="shared" si="4"/>
        <v>120000</v>
      </c>
      <c r="K5" s="86">
        <f t="shared" ref="K5:K10" si="7">K4+250</f>
        <v>3500</v>
      </c>
      <c r="L5" s="12"/>
      <c r="O5" s="12"/>
      <c r="P5" s="12"/>
      <c r="Q5" s="12"/>
      <c r="R5" s="12"/>
      <c r="S5" s="12"/>
      <c r="T5" s="12"/>
      <c r="U5" s="12"/>
      <c r="V5" s="12"/>
    </row>
    <row r="6" spans="1:22" ht="12.75" x14ac:dyDescent="0.2">
      <c r="A6" s="84">
        <f t="shared" si="0"/>
        <v>125000</v>
      </c>
      <c r="B6" s="85">
        <f t="shared" si="1"/>
        <v>6100</v>
      </c>
      <c r="C6" s="12"/>
      <c r="D6" s="84">
        <f t="shared" si="2"/>
        <v>125000</v>
      </c>
      <c r="E6" s="86">
        <f t="shared" si="5"/>
        <v>4700</v>
      </c>
      <c r="F6" s="12"/>
      <c r="G6" s="84">
        <f t="shared" si="3"/>
        <v>125000</v>
      </c>
      <c r="H6" s="86">
        <f t="shared" si="6"/>
        <v>4700</v>
      </c>
      <c r="I6" s="12"/>
      <c r="J6" s="84">
        <f t="shared" si="4"/>
        <v>125000</v>
      </c>
      <c r="K6" s="86">
        <f t="shared" si="7"/>
        <v>3750</v>
      </c>
      <c r="L6" s="12"/>
      <c r="O6" s="12"/>
      <c r="P6" s="12"/>
      <c r="Q6" s="12"/>
      <c r="R6" s="12"/>
      <c r="S6" s="12"/>
      <c r="T6" s="12"/>
      <c r="U6" s="12"/>
      <c r="V6" s="12"/>
    </row>
    <row r="7" spans="1:22" ht="12.75" x14ac:dyDescent="0.2">
      <c r="A7" s="80">
        <f t="shared" si="0"/>
        <v>130000</v>
      </c>
      <c r="B7" s="85">
        <f t="shared" si="1"/>
        <v>6400</v>
      </c>
      <c r="C7" s="25"/>
      <c r="D7" s="80">
        <f t="shared" si="2"/>
        <v>130000</v>
      </c>
      <c r="E7" s="86">
        <f t="shared" si="5"/>
        <v>4850</v>
      </c>
      <c r="F7" s="12"/>
      <c r="G7" s="80">
        <f t="shared" si="3"/>
        <v>130000</v>
      </c>
      <c r="H7" s="86">
        <f t="shared" si="6"/>
        <v>4850</v>
      </c>
      <c r="I7" s="12"/>
      <c r="J7" s="80">
        <f t="shared" si="4"/>
        <v>130000</v>
      </c>
      <c r="K7" s="86">
        <f t="shared" si="7"/>
        <v>4000</v>
      </c>
      <c r="L7" s="12"/>
      <c r="O7" s="12"/>
      <c r="P7" s="12"/>
      <c r="Q7" s="12"/>
      <c r="R7" s="12"/>
      <c r="S7" s="12"/>
      <c r="T7" s="12"/>
      <c r="U7" s="12"/>
      <c r="V7" s="12"/>
    </row>
    <row r="8" spans="1:22" ht="12.75" x14ac:dyDescent="0.2">
      <c r="A8" s="84">
        <f t="shared" si="0"/>
        <v>135000</v>
      </c>
      <c r="B8" s="85">
        <f t="shared" si="1"/>
        <v>6700</v>
      </c>
      <c r="C8" s="25"/>
      <c r="D8" s="84">
        <f t="shared" si="2"/>
        <v>135000</v>
      </c>
      <c r="E8" s="86">
        <f t="shared" si="5"/>
        <v>5000</v>
      </c>
      <c r="F8" s="12"/>
      <c r="G8" s="84">
        <f t="shared" si="3"/>
        <v>135000</v>
      </c>
      <c r="H8" s="86">
        <f t="shared" si="6"/>
        <v>5000</v>
      </c>
      <c r="I8" s="12"/>
      <c r="J8" s="84">
        <f t="shared" si="4"/>
        <v>135000</v>
      </c>
      <c r="K8" s="86">
        <f t="shared" si="7"/>
        <v>4250</v>
      </c>
      <c r="L8" s="12"/>
      <c r="O8" s="12"/>
      <c r="P8" s="12"/>
      <c r="Q8" s="12"/>
      <c r="R8" s="12"/>
      <c r="S8" s="12"/>
      <c r="T8" s="12"/>
      <c r="U8" s="12"/>
      <c r="V8" s="12"/>
    </row>
    <row r="9" spans="1:22" ht="12.75" x14ac:dyDescent="0.2">
      <c r="A9" s="80">
        <f t="shared" si="0"/>
        <v>140000</v>
      </c>
      <c r="B9" s="85">
        <f t="shared" si="1"/>
        <v>7000</v>
      </c>
      <c r="C9" s="25"/>
      <c r="D9" s="80">
        <f t="shared" si="2"/>
        <v>140000</v>
      </c>
      <c r="E9" s="86">
        <f t="shared" si="5"/>
        <v>5150</v>
      </c>
      <c r="F9" s="12"/>
      <c r="G9" s="80">
        <f t="shared" si="3"/>
        <v>140000</v>
      </c>
      <c r="H9" s="86">
        <f t="shared" si="6"/>
        <v>5150</v>
      </c>
      <c r="I9" s="12"/>
      <c r="J9" s="80">
        <f t="shared" si="4"/>
        <v>140000</v>
      </c>
      <c r="K9" s="86">
        <f t="shared" si="7"/>
        <v>4500</v>
      </c>
      <c r="L9" s="12"/>
      <c r="O9" s="12"/>
      <c r="P9" s="12"/>
      <c r="Q9" s="12"/>
      <c r="R9" s="12"/>
      <c r="S9" s="12"/>
      <c r="T9" s="12"/>
      <c r="U9" s="12"/>
      <c r="V9" s="12"/>
    </row>
    <row r="10" spans="1:22" ht="12.75" x14ac:dyDescent="0.2">
      <c r="A10" s="84">
        <f t="shared" si="0"/>
        <v>145000</v>
      </c>
      <c r="B10" s="85">
        <f t="shared" si="1"/>
        <v>7300</v>
      </c>
      <c r="C10" s="25"/>
      <c r="D10" s="84">
        <f t="shared" si="2"/>
        <v>145000</v>
      </c>
      <c r="E10" s="86">
        <f t="shared" si="5"/>
        <v>5300</v>
      </c>
      <c r="F10" s="12"/>
      <c r="G10" s="84">
        <f t="shared" si="3"/>
        <v>145000</v>
      </c>
      <c r="H10" s="86">
        <f t="shared" si="6"/>
        <v>5300</v>
      </c>
      <c r="I10" s="12"/>
      <c r="J10" s="84">
        <f t="shared" si="4"/>
        <v>145000</v>
      </c>
      <c r="K10" s="86">
        <f t="shared" si="7"/>
        <v>4750</v>
      </c>
      <c r="L10" s="12"/>
      <c r="O10" s="12"/>
      <c r="P10" s="12"/>
      <c r="Q10" s="12"/>
      <c r="R10" s="12"/>
      <c r="S10" s="12"/>
      <c r="T10" s="12"/>
      <c r="U10" s="12"/>
      <c r="V10" s="12"/>
    </row>
    <row r="11" spans="1:22" ht="12.75" x14ac:dyDescent="0.2">
      <c r="A11" s="80">
        <f t="shared" si="0"/>
        <v>150000</v>
      </c>
      <c r="B11" s="87">
        <v>8000</v>
      </c>
      <c r="C11" s="25"/>
      <c r="D11" s="80">
        <f t="shared" si="2"/>
        <v>150000</v>
      </c>
      <c r="E11" s="88">
        <v>6000</v>
      </c>
      <c r="F11" s="12"/>
      <c r="G11" s="80">
        <f t="shared" si="3"/>
        <v>150000</v>
      </c>
      <c r="H11" s="88">
        <v>6000</v>
      </c>
      <c r="I11" s="12"/>
      <c r="J11" s="80">
        <f t="shared" si="4"/>
        <v>150000</v>
      </c>
      <c r="K11" s="89">
        <v>5000</v>
      </c>
      <c r="L11" s="12"/>
      <c r="O11" s="12"/>
      <c r="P11" s="12"/>
      <c r="Q11" s="12"/>
      <c r="R11" s="12"/>
      <c r="S11" s="12"/>
      <c r="T11" s="12"/>
      <c r="U11" s="12"/>
      <c r="V11" s="12"/>
    </row>
    <row r="12" spans="1:22" ht="12.75" x14ac:dyDescent="0.2">
      <c r="A12" s="84">
        <f t="shared" si="0"/>
        <v>155000</v>
      </c>
      <c r="B12" s="85">
        <f t="shared" ref="B12:B20" si="8">B11+300</f>
        <v>8300</v>
      </c>
      <c r="C12" s="25"/>
      <c r="D12" s="84">
        <f t="shared" si="2"/>
        <v>155000</v>
      </c>
      <c r="E12" s="86">
        <f t="shared" ref="E12:E20" si="9">E11+150</f>
        <v>6150</v>
      </c>
      <c r="F12" s="12"/>
      <c r="G12" s="84">
        <f t="shared" si="3"/>
        <v>155000</v>
      </c>
      <c r="H12" s="86">
        <f t="shared" ref="H12:H20" si="10">H11+150</f>
        <v>6150</v>
      </c>
      <c r="I12" s="12"/>
      <c r="J12" s="84">
        <f t="shared" si="4"/>
        <v>155000</v>
      </c>
      <c r="K12" s="86">
        <f t="shared" ref="K12:K20" si="11">K11+250</f>
        <v>5250</v>
      </c>
      <c r="L12" s="12"/>
      <c r="O12" s="12"/>
      <c r="P12" s="12"/>
      <c r="Q12" s="12"/>
      <c r="R12" s="12"/>
      <c r="S12" s="12"/>
      <c r="T12" s="12"/>
      <c r="U12" s="12"/>
      <c r="V12" s="12"/>
    </row>
    <row r="13" spans="1:22" ht="12.75" x14ac:dyDescent="0.2">
      <c r="A13" s="80">
        <f t="shared" si="0"/>
        <v>160000</v>
      </c>
      <c r="B13" s="85">
        <f t="shared" si="8"/>
        <v>8600</v>
      </c>
      <c r="C13" s="13"/>
      <c r="D13" s="80">
        <f t="shared" si="2"/>
        <v>160000</v>
      </c>
      <c r="E13" s="86">
        <f t="shared" si="9"/>
        <v>6300</v>
      </c>
      <c r="F13" s="4"/>
      <c r="G13" s="80">
        <f t="shared" si="3"/>
        <v>160000</v>
      </c>
      <c r="H13" s="86">
        <f t="shared" si="10"/>
        <v>6300</v>
      </c>
      <c r="I13" s="4"/>
      <c r="J13" s="80">
        <f t="shared" si="4"/>
        <v>160000</v>
      </c>
      <c r="K13" s="86">
        <f t="shared" si="11"/>
        <v>5500</v>
      </c>
      <c r="L13" s="4"/>
      <c r="O13" s="4"/>
      <c r="P13" s="4"/>
      <c r="Q13" s="4"/>
      <c r="R13" s="4"/>
      <c r="S13" s="4"/>
      <c r="T13" s="4"/>
      <c r="U13" s="4"/>
      <c r="V13" s="4"/>
    </row>
    <row r="14" spans="1:22" ht="12.75" x14ac:dyDescent="0.2">
      <c r="A14" s="84">
        <f t="shared" si="0"/>
        <v>165000</v>
      </c>
      <c r="B14" s="85">
        <f t="shared" si="8"/>
        <v>8900</v>
      </c>
      <c r="C14" s="4"/>
      <c r="D14" s="84">
        <f t="shared" si="2"/>
        <v>165000</v>
      </c>
      <c r="E14" s="86">
        <f t="shared" si="9"/>
        <v>6450</v>
      </c>
      <c r="F14" s="4"/>
      <c r="G14" s="84">
        <f t="shared" si="3"/>
        <v>165000</v>
      </c>
      <c r="H14" s="86">
        <f t="shared" si="10"/>
        <v>6450</v>
      </c>
      <c r="I14" s="4"/>
      <c r="J14" s="84">
        <f t="shared" si="4"/>
        <v>165000</v>
      </c>
      <c r="K14" s="86">
        <f t="shared" si="11"/>
        <v>5750</v>
      </c>
      <c r="L14" s="4"/>
      <c r="O14" s="4"/>
      <c r="P14" s="4"/>
      <c r="Q14" s="4"/>
      <c r="R14" s="4"/>
      <c r="S14" s="4"/>
      <c r="T14" s="4"/>
      <c r="U14" s="4"/>
      <c r="V14" s="4"/>
    </row>
    <row r="15" spans="1:22" ht="12.75" x14ac:dyDescent="0.2">
      <c r="A15" s="80">
        <f t="shared" si="0"/>
        <v>170000</v>
      </c>
      <c r="B15" s="85">
        <f t="shared" si="8"/>
        <v>9200</v>
      </c>
      <c r="C15" s="4"/>
      <c r="D15" s="80">
        <f t="shared" si="2"/>
        <v>170000</v>
      </c>
      <c r="E15" s="86">
        <f t="shared" si="9"/>
        <v>6600</v>
      </c>
      <c r="F15" s="4"/>
      <c r="G15" s="80">
        <f t="shared" si="3"/>
        <v>170000</v>
      </c>
      <c r="H15" s="86">
        <f t="shared" si="10"/>
        <v>6600</v>
      </c>
      <c r="I15" s="4"/>
      <c r="J15" s="80">
        <f t="shared" si="4"/>
        <v>170000</v>
      </c>
      <c r="K15" s="86">
        <f t="shared" si="11"/>
        <v>6000</v>
      </c>
      <c r="L15" s="4"/>
      <c r="O15" s="4"/>
      <c r="P15" s="4"/>
      <c r="Q15" s="4"/>
      <c r="R15" s="4"/>
      <c r="S15" s="4"/>
      <c r="T15" s="4"/>
      <c r="U15" s="4"/>
      <c r="V15" s="4"/>
    </row>
    <row r="16" spans="1:22" ht="12.75" x14ac:dyDescent="0.2">
      <c r="A16" s="84">
        <f t="shared" si="0"/>
        <v>175000</v>
      </c>
      <c r="B16" s="85">
        <f t="shared" si="8"/>
        <v>9500</v>
      </c>
      <c r="C16" s="4"/>
      <c r="D16" s="84">
        <f t="shared" si="2"/>
        <v>175000</v>
      </c>
      <c r="E16" s="86">
        <f t="shared" si="9"/>
        <v>6750</v>
      </c>
      <c r="F16" s="4"/>
      <c r="G16" s="84">
        <f t="shared" si="3"/>
        <v>175000</v>
      </c>
      <c r="H16" s="86">
        <f t="shared" si="10"/>
        <v>6750</v>
      </c>
      <c r="I16" s="4"/>
      <c r="J16" s="84">
        <f t="shared" si="4"/>
        <v>175000</v>
      </c>
      <c r="K16" s="86">
        <f t="shared" si="11"/>
        <v>6250</v>
      </c>
      <c r="L16" s="4"/>
      <c r="O16" s="4"/>
      <c r="P16" s="4"/>
      <c r="Q16" s="4"/>
      <c r="R16" s="4"/>
      <c r="S16" s="4"/>
      <c r="T16" s="4"/>
      <c r="U16" s="4"/>
      <c r="V16" s="4"/>
    </row>
    <row r="17" spans="1:22" ht="12.75" x14ac:dyDescent="0.2">
      <c r="A17" s="80">
        <f t="shared" si="0"/>
        <v>180000</v>
      </c>
      <c r="B17" s="85">
        <f t="shared" si="8"/>
        <v>9800</v>
      </c>
      <c r="C17" s="4"/>
      <c r="D17" s="80">
        <f t="shared" si="2"/>
        <v>180000</v>
      </c>
      <c r="E17" s="86">
        <f t="shared" si="9"/>
        <v>6900</v>
      </c>
      <c r="F17" s="4"/>
      <c r="G17" s="80">
        <f t="shared" si="3"/>
        <v>180000</v>
      </c>
      <c r="H17" s="86">
        <f t="shared" si="10"/>
        <v>6900</v>
      </c>
      <c r="I17" s="4"/>
      <c r="J17" s="80">
        <f t="shared" si="4"/>
        <v>180000</v>
      </c>
      <c r="K17" s="86">
        <f t="shared" si="11"/>
        <v>6500</v>
      </c>
      <c r="L17" s="4"/>
      <c r="O17" s="4"/>
      <c r="P17" s="4"/>
      <c r="Q17" s="4"/>
      <c r="R17" s="4"/>
      <c r="S17" s="4"/>
      <c r="T17" s="4"/>
      <c r="U17" s="4"/>
      <c r="V17" s="4"/>
    </row>
    <row r="18" spans="1:22" ht="12.75" x14ac:dyDescent="0.2">
      <c r="A18" s="84">
        <f t="shared" si="0"/>
        <v>185000</v>
      </c>
      <c r="B18" s="85">
        <f t="shared" si="8"/>
        <v>10100</v>
      </c>
      <c r="C18" s="4"/>
      <c r="D18" s="84">
        <f t="shared" si="2"/>
        <v>185000</v>
      </c>
      <c r="E18" s="86">
        <f t="shared" si="9"/>
        <v>7050</v>
      </c>
      <c r="F18" s="4"/>
      <c r="G18" s="84">
        <f t="shared" si="3"/>
        <v>185000</v>
      </c>
      <c r="H18" s="86">
        <f t="shared" si="10"/>
        <v>7050</v>
      </c>
      <c r="I18" s="4"/>
      <c r="J18" s="84">
        <f t="shared" si="4"/>
        <v>185000</v>
      </c>
      <c r="K18" s="86">
        <f t="shared" si="11"/>
        <v>6750</v>
      </c>
      <c r="L18" s="4"/>
      <c r="O18" s="4"/>
      <c r="P18" s="4"/>
      <c r="Q18" s="4"/>
      <c r="R18" s="4"/>
      <c r="S18" s="4"/>
      <c r="T18" s="4"/>
      <c r="U18" s="4"/>
      <c r="V18" s="4"/>
    </row>
    <row r="19" spans="1:22" ht="12.75" x14ac:dyDescent="0.2">
      <c r="A19" s="80">
        <f t="shared" si="0"/>
        <v>190000</v>
      </c>
      <c r="B19" s="85">
        <f t="shared" si="8"/>
        <v>10400</v>
      </c>
      <c r="C19" s="4"/>
      <c r="D19" s="80">
        <f t="shared" si="2"/>
        <v>190000</v>
      </c>
      <c r="E19" s="86">
        <f t="shared" si="9"/>
        <v>7200</v>
      </c>
      <c r="F19" s="4"/>
      <c r="G19" s="80">
        <f t="shared" si="3"/>
        <v>190000</v>
      </c>
      <c r="H19" s="86">
        <f t="shared" si="10"/>
        <v>7200</v>
      </c>
      <c r="I19" s="4"/>
      <c r="J19" s="80">
        <f t="shared" si="4"/>
        <v>190000</v>
      </c>
      <c r="K19" s="86">
        <f t="shared" si="11"/>
        <v>7000</v>
      </c>
      <c r="L19" s="4"/>
      <c r="O19" s="4"/>
      <c r="P19" s="4"/>
      <c r="Q19" s="4"/>
      <c r="R19" s="4"/>
      <c r="S19" s="4"/>
      <c r="T19" s="4"/>
      <c r="U19" s="4"/>
      <c r="V19" s="4"/>
    </row>
    <row r="20" spans="1:22" ht="18" x14ac:dyDescent="0.25">
      <c r="A20" s="84">
        <f t="shared" si="0"/>
        <v>195000</v>
      </c>
      <c r="B20" s="85">
        <f t="shared" si="8"/>
        <v>10700</v>
      </c>
      <c r="C20" s="65"/>
      <c r="D20" s="84">
        <f t="shared" si="2"/>
        <v>195000</v>
      </c>
      <c r="E20" s="86">
        <f t="shared" si="9"/>
        <v>7350</v>
      </c>
      <c r="F20" s="65"/>
      <c r="G20" s="84">
        <f t="shared" si="3"/>
        <v>195000</v>
      </c>
      <c r="H20" s="86">
        <f t="shared" si="10"/>
        <v>7350</v>
      </c>
      <c r="I20" s="65"/>
      <c r="J20" s="84">
        <f t="shared" si="4"/>
        <v>195000</v>
      </c>
      <c r="K20" s="86">
        <f t="shared" si="11"/>
        <v>7250</v>
      </c>
      <c r="L20" s="65"/>
      <c r="O20" s="65"/>
      <c r="P20" s="65"/>
      <c r="Q20" s="65"/>
      <c r="R20" s="65"/>
      <c r="S20" s="65"/>
      <c r="T20" s="65"/>
      <c r="U20" s="65"/>
      <c r="V20" s="65"/>
    </row>
    <row r="21" spans="1:22" ht="12.75" x14ac:dyDescent="0.2">
      <c r="A21" s="80">
        <f t="shared" si="0"/>
        <v>200000</v>
      </c>
      <c r="B21" s="87">
        <v>11000</v>
      </c>
      <c r="C21" s="4"/>
      <c r="D21" s="80">
        <f t="shared" si="2"/>
        <v>200000</v>
      </c>
      <c r="E21" s="88">
        <v>8000</v>
      </c>
      <c r="F21" s="4"/>
      <c r="G21" s="80">
        <f t="shared" si="3"/>
        <v>200000</v>
      </c>
      <c r="H21" s="88">
        <v>8000</v>
      </c>
      <c r="I21" s="4"/>
      <c r="J21" s="80">
        <f t="shared" si="4"/>
        <v>200000</v>
      </c>
      <c r="K21" s="89">
        <v>7500</v>
      </c>
      <c r="L21" s="4"/>
      <c r="O21" s="4"/>
      <c r="P21" s="4"/>
      <c r="Q21" s="4"/>
      <c r="R21" s="4"/>
      <c r="S21" s="4"/>
      <c r="T21" s="4"/>
      <c r="U21" s="4"/>
      <c r="V21" s="4"/>
    </row>
    <row r="22" spans="1:22" ht="12.75" x14ac:dyDescent="0.2">
      <c r="A22" s="84">
        <f t="shared" si="0"/>
        <v>205000</v>
      </c>
      <c r="B22" s="85">
        <f t="shared" ref="B22:B30" si="12">B21+300</f>
        <v>11300</v>
      </c>
      <c r="C22" s="4"/>
      <c r="D22" s="84">
        <f t="shared" si="2"/>
        <v>205000</v>
      </c>
      <c r="E22" s="86">
        <f t="shared" ref="E22:E30" si="13">E21+200</f>
        <v>8200</v>
      </c>
      <c r="F22" s="4"/>
      <c r="G22" s="84">
        <f t="shared" si="3"/>
        <v>205000</v>
      </c>
      <c r="H22" s="86">
        <f t="shared" ref="H22:H30" si="14">H21+200</f>
        <v>8200</v>
      </c>
      <c r="I22" s="4"/>
      <c r="J22" s="84">
        <f t="shared" si="4"/>
        <v>205000</v>
      </c>
      <c r="K22" s="86">
        <f t="shared" ref="K22:K30" si="15">K21+250</f>
        <v>7750</v>
      </c>
      <c r="L22" s="4"/>
      <c r="O22" s="4"/>
      <c r="P22" s="4"/>
      <c r="Q22" s="4"/>
      <c r="R22" s="4"/>
      <c r="S22" s="4"/>
      <c r="T22" s="4"/>
      <c r="U22" s="4"/>
      <c r="V22" s="4"/>
    </row>
    <row r="23" spans="1:22" ht="12.75" x14ac:dyDescent="0.2">
      <c r="A23" s="80">
        <f t="shared" si="0"/>
        <v>210000</v>
      </c>
      <c r="B23" s="85">
        <f t="shared" si="12"/>
        <v>11600</v>
      </c>
      <c r="C23" s="4"/>
      <c r="D23" s="80">
        <f t="shared" si="2"/>
        <v>210000</v>
      </c>
      <c r="E23" s="86">
        <f t="shared" si="13"/>
        <v>8400</v>
      </c>
      <c r="F23" s="4"/>
      <c r="G23" s="80">
        <f t="shared" si="3"/>
        <v>210000</v>
      </c>
      <c r="H23" s="86">
        <f t="shared" si="14"/>
        <v>8400</v>
      </c>
      <c r="I23" s="4"/>
      <c r="J23" s="80">
        <f t="shared" si="4"/>
        <v>210000</v>
      </c>
      <c r="K23" s="86">
        <f t="shared" si="15"/>
        <v>8000</v>
      </c>
      <c r="L23" s="4"/>
      <c r="O23" s="4"/>
      <c r="P23" s="4"/>
      <c r="Q23" s="4"/>
      <c r="R23" s="4"/>
      <c r="S23" s="4"/>
      <c r="T23" s="4"/>
      <c r="U23" s="4"/>
      <c r="V23" s="4"/>
    </row>
    <row r="24" spans="1:22" ht="12.75" x14ac:dyDescent="0.2">
      <c r="A24" s="84">
        <f t="shared" si="0"/>
        <v>215000</v>
      </c>
      <c r="B24" s="85">
        <f t="shared" si="12"/>
        <v>11900</v>
      </c>
      <c r="C24" s="4"/>
      <c r="D24" s="84">
        <f t="shared" si="2"/>
        <v>215000</v>
      </c>
      <c r="E24" s="86">
        <f t="shared" si="13"/>
        <v>8600</v>
      </c>
      <c r="F24" s="4"/>
      <c r="G24" s="84">
        <f t="shared" si="3"/>
        <v>215000</v>
      </c>
      <c r="H24" s="86">
        <f t="shared" si="14"/>
        <v>8600</v>
      </c>
      <c r="I24" s="4"/>
      <c r="J24" s="84">
        <f t="shared" si="4"/>
        <v>215000</v>
      </c>
      <c r="K24" s="86">
        <f t="shared" si="15"/>
        <v>8250</v>
      </c>
      <c r="L24" s="4"/>
      <c r="O24" s="4"/>
      <c r="P24" s="4"/>
      <c r="Q24" s="4"/>
      <c r="R24" s="4"/>
      <c r="S24" s="4"/>
      <c r="T24" s="4"/>
      <c r="U24" s="4"/>
      <c r="V24" s="4"/>
    </row>
    <row r="25" spans="1:22" ht="12.75" x14ac:dyDescent="0.2">
      <c r="A25" s="80">
        <f t="shared" si="0"/>
        <v>220000</v>
      </c>
      <c r="B25" s="85">
        <f t="shared" si="12"/>
        <v>12200</v>
      </c>
      <c r="C25" s="4"/>
      <c r="D25" s="80">
        <f t="shared" si="2"/>
        <v>220000</v>
      </c>
      <c r="E25" s="86">
        <f t="shared" si="13"/>
        <v>8800</v>
      </c>
      <c r="F25" s="4"/>
      <c r="G25" s="80">
        <f t="shared" si="3"/>
        <v>220000</v>
      </c>
      <c r="H25" s="86">
        <f t="shared" si="14"/>
        <v>8800</v>
      </c>
      <c r="I25" s="4"/>
      <c r="J25" s="80">
        <f t="shared" si="4"/>
        <v>220000</v>
      </c>
      <c r="K25" s="86">
        <f t="shared" si="15"/>
        <v>8500</v>
      </c>
      <c r="L25" s="4"/>
      <c r="O25" s="4"/>
      <c r="P25" s="4"/>
      <c r="Q25" s="4"/>
      <c r="R25" s="4"/>
      <c r="S25" s="4"/>
      <c r="T25" s="4"/>
      <c r="U25" s="4"/>
      <c r="V25" s="4"/>
    </row>
    <row r="26" spans="1:22" ht="12.75" x14ac:dyDescent="0.2">
      <c r="A26" s="84">
        <f t="shared" si="0"/>
        <v>225000</v>
      </c>
      <c r="B26" s="85">
        <f t="shared" si="12"/>
        <v>12500</v>
      </c>
      <c r="C26" s="4"/>
      <c r="D26" s="84">
        <f t="shared" si="2"/>
        <v>225000</v>
      </c>
      <c r="E26" s="86">
        <f t="shared" si="13"/>
        <v>9000</v>
      </c>
      <c r="F26" s="4"/>
      <c r="G26" s="84">
        <f t="shared" si="3"/>
        <v>225000</v>
      </c>
      <c r="H26" s="86">
        <f t="shared" si="14"/>
        <v>9000</v>
      </c>
      <c r="I26" s="4"/>
      <c r="J26" s="84">
        <f t="shared" si="4"/>
        <v>225000</v>
      </c>
      <c r="K26" s="86">
        <f t="shared" si="15"/>
        <v>8750</v>
      </c>
      <c r="L26" s="4"/>
      <c r="O26" s="4"/>
      <c r="P26" s="4"/>
      <c r="Q26" s="4"/>
      <c r="R26" s="4"/>
      <c r="S26" s="4"/>
      <c r="T26" s="4"/>
      <c r="U26" s="4"/>
      <c r="V26" s="4"/>
    </row>
    <row r="27" spans="1:22" ht="12.75" x14ac:dyDescent="0.2">
      <c r="A27" s="80">
        <f t="shared" si="0"/>
        <v>230000</v>
      </c>
      <c r="B27" s="85">
        <f t="shared" si="12"/>
        <v>12800</v>
      </c>
      <c r="C27" s="4"/>
      <c r="D27" s="80">
        <f t="shared" si="2"/>
        <v>230000</v>
      </c>
      <c r="E27" s="86">
        <f t="shared" si="13"/>
        <v>9200</v>
      </c>
      <c r="F27" s="4"/>
      <c r="G27" s="80">
        <f t="shared" si="3"/>
        <v>230000</v>
      </c>
      <c r="H27" s="86">
        <f t="shared" si="14"/>
        <v>9200</v>
      </c>
      <c r="I27" s="4"/>
      <c r="J27" s="80">
        <f t="shared" si="4"/>
        <v>230000</v>
      </c>
      <c r="K27" s="86">
        <f t="shared" si="15"/>
        <v>9000</v>
      </c>
      <c r="L27" s="4"/>
      <c r="O27" s="4"/>
      <c r="P27" s="4"/>
      <c r="Q27" s="4"/>
      <c r="R27" s="4"/>
      <c r="S27" s="4"/>
      <c r="T27" s="4"/>
      <c r="U27" s="4"/>
      <c r="V27" s="4"/>
    </row>
    <row r="28" spans="1:22" ht="12.75" x14ac:dyDescent="0.2">
      <c r="A28" s="84">
        <f t="shared" si="0"/>
        <v>235000</v>
      </c>
      <c r="B28" s="85">
        <f t="shared" si="12"/>
        <v>13100</v>
      </c>
      <c r="C28" s="4"/>
      <c r="D28" s="84">
        <f t="shared" si="2"/>
        <v>235000</v>
      </c>
      <c r="E28" s="86">
        <f t="shared" si="13"/>
        <v>9400</v>
      </c>
      <c r="F28" s="4"/>
      <c r="G28" s="84">
        <f t="shared" si="3"/>
        <v>235000</v>
      </c>
      <c r="H28" s="86">
        <f t="shared" si="14"/>
        <v>9400</v>
      </c>
      <c r="I28" s="4"/>
      <c r="J28" s="84">
        <f t="shared" si="4"/>
        <v>235000</v>
      </c>
      <c r="K28" s="86">
        <f t="shared" si="15"/>
        <v>9250</v>
      </c>
      <c r="L28" s="4"/>
      <c r="O28" s="4"/>
      <c r="P28" s="4"/>
      <c r="Q28" s="4"/>
      <c r="R28" s="4"/>
      <c r="S28" s="4"/>
      <c r="T28" s="4"/>
      <c r="U28" s="4"/>
      <c r="V28" s="4"/>
    </row>
    <row r="29" spans="1:22" ht="12.75" x14ac:dyDescent="0.2">
      <c r="A29" s="80">
        <f t="shared" si="0"/>
        <v>240000</v>
      </c>
      <c r="B29" s="85">
        <f t="shared" si="12"/>
        <v>13400</v>
      </c>
      <c r="C29" s="4"/>
      <c r="D29" s="80">
        <f t="shared" si="2"/>
        <v>240000</v>
      </c>
      <c r="E29" s="86">
        <f t="shared" si="13"/>
        <v>9600</v>
      </c>
      <c r="F29" s="4"/>
      <c r="G29" s="80">
        <f t="shared" si="3"/>
        <v>240000</v>
      </c>
      <c r="H29" s="86">
        <f t="shared" si="14"/>
        <v>9600</v>
      </c>
      <c r="I29" s="4"/>
      <c r="J29" s="80">
        <f t="shared" si="4"/>
        <v>240000</v>
      </c>
      <c r="K29" s="86">
        <f t="shared" si="15"/>
        <v>9500</v>
      </c>
      <c r="L29" s="4"/>
      <c r="O29" s="4"/>
      <c r="P29" s="4"/>
      <c r="Q29" s="4"/>
      <c r="R29" s="4"/>
      <c r="S29" s="4"/>
      <c r="T29" s="4"/>
      <c r="U29" s="4"/>
      <c r="V29" s="4"/>
    </row>
    <row r="30" spans="1:22" ht="12.75" x14ac:dyDescent="0.2">
      <c r="A30" s="84">
        <f t="shared" si="0"/>
        <v>245000</v>
      </c>
      <c r="B30" s="85">
        <f t="shared" si="12"/>
        <v>13700</v>
      </c>
      <c r="C30" s="4"/>
      <c r="D30" s="84">
        <f t="shared" si="2"/>
        <v>245000</v>
      </c>
      <c r="E30" s="86">
        <f t="shared" si="13"/>
        <v>9800</v>
      </c>
      <c r="F30" s="4"/>
      <c r="G30" s="84">
        <f t="shared" si="3"/>
        <v>245000</v>
      </c>
      <c r="H30" s="86">
        <f t="shared" si="14"/>
        <v>9800</v>
      </c>
      <c r="I30" s="4"/>
      <c r="J30" s="84">
        <f t="shared" si="4"/>
        <v>245000</v>
      </c>
      <c r="K30" s="86">
        <f t="shared" si="15"/>
        <v>9750</v>
      </c>
      <c r="L30" s="4"/>
      <c r="O30" s="4"/>
      <c r="P30" s="4"/>
      <c r="Q30" s="4"/>
      <c r="R30" s="4"/>
      <c r="S30" s="4"/>
      <c r="T30" s="4"/>
      <c r="U30" s="4"/>
      <c r="V30" s="4"/>
    </row>
    <row r="31" spans="1:22" ht="12.75" x14ac:dyDescent="0.2">
      <c r="A31" s="80">
        <f t="shared" si="0"/>
        <v>250000</v>
      </c>
      <c r="B31" s="87">
        <v>14000</v>
      </c>
      <c r="C31" s="4"/>
      <c r="D31" s="80">
        <f t="shared" si="2"/>
        <v>250000</v>
      </c>
      <c r="E31" s="88">
        <v>11000</v>
      </c>
      <c r="F31" s="4"/>
      <c r="G31" s="80">
        <f t="shared" si="3"/>
        <v>250000</v>
      </c>
      <c r="H31" s="88">
        <v>11000</v>
      </c>
      <c r="I31" s="4"/>
      <c r="J31" s="80">
        <f t="shared" si="4"/>
        <v>250000</v>
      </c>
      <c r="K31" s="89">
        <v>10000</v>
      </c>
      <c r="L31" s="4"/>
      <c r="O31" s="4"/>
      <c r="P31" s="4"/>
      <c r="Q31" s="4"/>
      <c r="R31" s="4"/>
      <c r="S31" s="4"/>
      <c r="T31" s="4"/>
      <c r="U31" s="4"/>
      <c r="V31" s="4"/>
    </row>
    <row r="32" spans="1:22" ht="12.75" x14ac:dyDescent="0.2">
      <c r="A32" s="84">
        <f t="shared" si="0"/>
        <v>255000</v>
      </c>
      <c r="B32" s="85">
        <f t="shared" ref="B32:B40" si="16">B31+200</f>
        <v>14200</v>
      </c>
      <c r="C32" s="4"/>
      <c r="D32" s="84">
        <f t="shared" si="2"/>
        <v>255000</v>
      </c>
      <c r="E32" s="86">
        <f t="shared" ref="E32:E40" si="17">E31+150</f>
        <v>11150</v>
      </c>
      <c r="F32" s="4"/>
      <c r="G32" s="84">
        <f t="shared" si="3"/>
        <v>255000</v>
      </c>
      <c r="H32" s="86">
        <f t="shared" ref="H32:H40" si="18">H31+150</f>
        <v>11150</v>
      </c>
      <c r="I32" s="4"/>
      <c r="J32" s="84">
        <f t="shared" si="4"/>
        <v>255000</v>
      </c>
      <c r="K32" s="86">
        <f t="shared" ref="K32:K40" si="19">K31+100</f>
        <v>10100</v>
      </c>
      <c r="L32" s="4"/>
      <c r="O32" s="4"/>
      <c r="P32" s="4"/>
      <c r="Q32" s="4"/>
      <c r="R32" s="4"/>
      <c r="S32" s="4"/>
      <c r="T32" s="4"/>
      <c r="U32" s="4"/>
      <c r="V32" s="4"/>
    </row>
    <row r="33" spans="1:22" ht="12.75" x14ac:dyDescent="0.2">
      <c r="A33" s="80">
        <f t="shared" si="0"/>
        <v>260000</v>
      </c>
      <c r="B33" s="85">
        <f t="shared" si="16"/>
        <v>14400</v>
      </c>
      <c r="C33" s="4"/>
      <c r="D33" s="80">
        <f t="shared" si="2"/>
        <v>260000</v>
      </c>
      <c r="E33" s="86">
        <f t="shared" si="17"/>
        <v>11300</v>
      </c>
      <c r="F33" s="4"/>
      <c r="G33" s="80">
        <f t="shared" si="3"/>
        <v>260000</v>
      </c>
      <c r="H33" s="86">
        <f t="shared" si="18"/>
        <v>11300</v>
      </c>
      <c r="I33" s="4"/>
      <c r="J33" s="80">
        <f t="shared" si="4"/>
        <v>260000</v>
      </c>
      <c r="K33" s="86">
        <f t="shared" si="19"/>
        <v>10200</v>
      </c>
      <c r="L33" s="4"/>
      <c r="O33" s="4"/>
      <c r="P33" s="4"/>
      <c r="Q33" s="4"/>
      <c r="R33" s="4"/>
      <c r="S33" s="4"/>
      <c r="T33" s="4"/>
      <c r="U33" s="4"/>
      <c r="V33" s="4"/>
    </row>
    <row r="34" spans="1:22" ht="12.75" x14ac:dyDescent="0.2">
      <c r="A34" s="84">
        <f t="shared" si="0"/>
        <v>265000</v>
      </c>
      <c r="B34" s="85">
        <f t="shared" si="16"/>
        <v>14600</v>
      </c>
      <c r="C34" s="4"/>
      <c r="D34" s="84">
        <f t="shared" si="2"/>
        <v>265000</v>
      </c>
      <c r="E34" s="86">
        <f t="shared" si="17"/>
        <v>11450</v>
      </c>
      <c r="F34" s="4"/>
      <c r="G34" s="84">
        <f t="shared" si="3"/>
        <v>265000</v>
      </c>
      <c r="H34" s="86">
        <f t="shared" si="18"/>
        <v>11450</v>
      </c>
      <c r="I34" s="4"/>
      <c r="J34" s="84">
        <f t="shared" si="4"/>
        <v>265000</v>
      </c>
      <c r="K34" s="86">
        <f t="shared" si="19"/>
        <v>10300</v>
      </c>
      <c r="L34" s="4"/>
      <c r="O34" s="4"/>
      <c r="P34" s="4"/>
      <c r="Q34" s="4"/>
      <c r="R34" s="4"/>
      <c r="S34" s="4"/>
      <c r="T34" s="4"/>
      <c r="U34" s="4"/>
      <c r="V34" s="4"/>
    </row>
    <row r="35" spans="1:22" ht="12.75" x14ac:dyDescent="0.2">
      <c r="A35" s="80">
        <f t="shared" si="0"/>
        <v>270000</v>
      </c>
      <c r="B35" s="85">
        <f t="shared" si="16"/>
        <v>14800</v>
      </c>
      <c r="C35" s="4"/>
      <c r="D35" s="80">
        <f t="shared" si="2"/>
        <v>270000</v>
      </c>
      <c r="E35" s="86">
        <f t="shared" si="17"/>
        <v>11600</v>
      </c>
      <c r="F35" s="4"/>
      <c r="G35" s="80">
        <f t="shared" si="3"/>
        <v>270000</v>
      </c>
      <c r="H35" s="86">
        <f t="shared" si="18"/>
        <v>11600</v>
      </c>
      <c r="I35" s="4"/>
      <c r="J35" s="80">
        <f t="shared" si="4"/>
        <v>270000</v>
      </c>
      <c r="K35" s="86">
        <f t="shared" si="19"/>
        <v>10400</v>
      </c>
      <c r="L35" s="4"/>
      <c r="O35" s="4"/>
      <c r="P35" s="4"/>
      <c r="Q35" s="4"/>
      <c r="R35" s="4"/>
      <c r="S35" s="4"/>
      <c r="T35" s="4"/>
      <c r="U35" s="4"/>
      <c r="V35" s="4"/>
    </row>
    <row r="36" spans="1:22" ht="12.75" x14ac:dyDescent="0.2">
      <c r="A36" s="84">
        <f t="shared" si="0"/>
        <v>275000</v>
      </c>
      <c r="B36" s="85">
        <f t="shared" si="16"/>
        <v>15000</v>
      </c>
      <c r="C36" s="4"/>
      <c r="D36" s="84">
        <f t="shared" si="2"/>
        <v>275000</v>
      </c>
      <c r="E36" s="86">
        <f t="shared" si="17"/>
        <v>11750</v>
      </c>
      <c r="F36" s="4"/>
      <c r="G36" s="84">
        <f t="shared" si="3"/>
        <v>275000</v>
      </c>
      <c r="H36" s="86">
        <f t="shared" si="18"/>
        <v>11750</v>
      </c>
      <c r="I36" s="4"/>
      <c r="J36" s="84">
        <f t="shared" si="4"/>
        <v>275000</v>
      </c>
      <c r="K36" s="86">
        <f t="shared" si="19"/>
        <v>10500</v>
      </c>
      <c r="L36" s="4"/>
      <c r="O36" s="4"/>
      <c r="P36" s="4"/>
      <c r="Q36" s="4"/>
      <c r="R36" s="4"/>
      <c r="S36" s="4"/>
      <c r="T36" s="4"/>
      <c r="U36" s="4"/>
      <c r="V36" s="4"/>
    </row>
    <row r="37" spans="1:22" ht="12.75" x14ac:dyDescent="0.2">
      <c r="A37" s="80">
        <f t="shared" si="0"/>
        <v>280000</v>
      </c>
      <c r="B37" s="85">
        <f t="shared" si="16"/>
        <v>15200</v>
      </c>
      <c r="C37" s="4"/>
      <c r="D37" s="80">
        <f t="shared" si="2"/>
        <v>280000</v>
      </c>
      <c r="E37" s="86">
        <f t="shared" si="17"/>
        <v>11900</v>
      </c>
      <c r="F37" s="4"/>
      <c r="G37" s="80">
        <f t="shared" si="3"/>
        <v>280000</v>
      </c>
      <c r="H37" s="86">
        <f t="shared" si="18"/>
        <v>11900</v>
      </c>
      <c r="I37" s="4"/>
      <c r="J37" s="80">
        <f t="shared" si="4"/>
        <v>280000</v>
      </c>
      <c r="K37" s="86">
        <f t="shared" si="19"/>
        <v>10600</v>
      </c>
      <c r="L37" s="4"/>
      <c r="O37" s="4"/>
      <c r="P37" s="4"/>
      <c r="Q37" s="4"/>
      <c r="R37" s="4"/>
      <c r="S37" s="4"/>
      <c r="T37" s="4"/>
      <c r="U37" s="4"/>
      <c r="V37" s="4"/>
    </row>
    <row r="38" spans="1:22" ht="12.75" x14ac:dyDescent="0.2">
      <c r="A38" s="84">
        <f t="shared" si="0"/>
        <v>285000</v>
      </c>
      <c r="B38" s="85">
        <f t="shared" si="16"/>
        <v>15400</v>
      </c>
      <c r="C38" s="4"/>
      <c r="D38" s="84">
        <f t="shared" si="2"/>
        <v>285000</v>
      </c>
      <c r="E38" s="86">
        <f t="shared" si="17"/>
        <v>12050</v>
      </c>
      <c r="F38" s="4"/>
      <c r="G38" s="84">
        <f t="shared" si="3"/>
        <v>285000</v>
      </c>
      <c r="H38" s="86">
        <f t="shared" si="18"/>
        <v>12050</v>
      </c>
      <c r="I38" s="4"/>
      <c r="J38" s="84">
        <f t="shared" si="4"/>
        <v>285000</v>
      </c>
      <c r="K38" s="86">
        <f t="shared" si="19"/>
        <v>10700</v>
      </c>
      <c r="L38" s="4"/>
      <c r="O38" s="4"/>
      <c r="P38" s="4"/>
      <c r="Q38" s="4"/>
      <c r="R38" s="4"/>
      <c r="S38" s="4"/>
      <c r="T38" s="4"/>
      <c r="U38" s="4"/>
      <c r="V38" s="4"/>
    </row>
    <row r="39" spans="1:22" ht="12.75" x14ac:dyDescent="0.2">
      <c r="A39" s="80">
        <f t="shared" si="0"/>
        <v>290000</v>
      </c>
      <c r="B39" s="85">
        <f t="shared" si="16"/>
        <v>15600</v>
      </c>
      <c r="C39" s="4"/>
      <c r="D39" s="80">
        <f t="shared" si="2"/>
        <v>290000</v>
      </c>
      <c r="E39" s="86">
        <f t="shared" si="17"/>
        <v>12200</v>
      </c>
      <c r="F39" s="4"/>
      <c r="G39" s="80">
        <f t="shared" si="3"/>
        <v>290000</v>
      </c>
      <c r="H39" s="86">
        <f t="shared" si="18"/>
        <v>12200</v>
      </c>
      <c r="I39" s="4"/>
      <c r="J39" s="80">
        <f t="shared" si="4"/>
        <v>290000</v>
      </c>
      <c r="K39" s="86">
        <f t="shared" si="19"/>
        <v>10800</v>
      </c>
      <c r="L39" s="4"/>
      <c r="O39" s="4"/>
      <c r="P39" s="4"/>
      <c r="Q39" s="4"/>
      <c r="R39" s="4"/>
      <c r="S39" s="4"/>
      <c r="T39" s="4"/>
      <c r="U39" s="4"/>
      <c r="V39" s="4"/>
    </row>
    <row r="40" spans="1:22" ht="12.75" x14ac:dyDescent="0.2">
      <c r="A40" s="84">
        <f t="shared" si="0"/>
        <v>295000</v>
      </c>
      <c r="B40" s="85">
        <f t="shared" si="16"/>
        <v>15800</v>
      </c>
      <c r="C40" s="4"/>
      <c r="D40" s="84">
        <f t="shared" si="2"/>
        <v>295000</v>
      </c>
      <c r="E40" s="86">
        <f t="shared" si="17"/>
        <v>12350</v>
      </c>
      <c r="F40" s="4"/>
      <c r="G40" s="84">
        <f t="shared" si="3"/>
        <v>295000</v>
      </c>
      <c r="H40" s="86">
        <f t="shared" si="18"/>
        <v>12350</v>
      </c>
      <c r="I40" s="4"/>
      <c r="J40" s="84">
        <f t="shared" si="4"/>
        <v>295000</v>
      </c>
      <c r="K40" s="86">
        <f t="shared" si="19"/>
        <v>10900</v>
      </c>
      <c r="L40" s="4"/>
      <c r="O40" s="4"/>
      <c r="P40" s="4"/>
      <c r="Q40" s="4"/>
      <c r="R40" s="4"/>
      <c r="S40" s="4"/>
      <c r="T40" s="4"/>
      <c r="U40" s="4"/>
      <c r="V40" s="4"/>
    </row>
    <row r="41" spans="1:22" ht="12.75" x14ac:dyDescent="0.2">
      <c r="A41" s="80">
        <f t="shared" si="0"/>
        <v>300000</v>
      </c>
      <c r="B41" s="87">
        <v>16000</v>
      </c>
      <c r="C41" s="4"/>
      <c r="D41" s="80">
        <f t="shared" si="2"/>
        <v>300000</v>
      </c>
      <c r="E41" s="88">
        <v>13500</v>
      </c>
      <c r="F41" s="4"/>
      <c r="G41" s="80">
        <f t="shared" si="3"/>
        <v>300000</v>
      </c>
      <c r="H41" s="88">
        <v>13500</v>
      </c>
      <c r="I41" s="4"/>
      <c r="J41" s="80">
        <f t="shared" si="4"/>
        <v>300000</v>
      </c>
      <c r="K41" s="89">
        <v>11000</v>
      </c>
      <c r="L41" s="4"/>
      <c r="O41" s="4"/>
      <c r="P41" s="4"/>
      <c r="Q41" s="4"/>
      <c r="R41" s="4"/>
      <c r="S41" s="4"/>
      <c r="T41" s="4"/>
      <c r="U41" s="4"/>
      <c r="V41" s="4"/>
    </row>
    <row r="42" spans="1:22" ht="12.75" x14ac:dyDescent="0.2">
      <c r="A42" s="84">
        <f t="shared" si="0"/>
        <v>305000</v>
      </c>
      <c r="B42" s="85">
        <f t="shared" ref="B42:B50" si="20">B41+200</f>
        <v>16200</v>
      </c>
      <c r="C42" s="4"/>
      <c r="D42" s="84">
        <f t="shared" si="2"/>
        <v>305000</v>
      </c>
      <c r="E42" s="86">
        <f t="shared" ref="E42:E61" si="21">E41+150</f>
        <v>13650</v>
      </c>
      <c r="F42" s="4"/>
      <c r="G42" s="84">
        <f t="shared" si="3"/>
        <v>305000</v>
      </c>
      <c r="H42" s="86">
        <f t="shared" ref="H42:H61" si="22">H41+150</f>
        <v>13650</v>
      </c>
      <c r="I42" s="4"/>
      <c r="J42" s="84">
        <f t="shared" si="4"/>
        <v>305000</v>
      </c>
      <c r="K42" s="86">
        <f t="shared" ref="K42:K50" si="23">K41+100</f>
        <v>11100</v>
      </c>
      <c r="L42" s="4"/>
      <c r="O42" s="4"/>
      <c r="P42" s="4"/>
      <c r="Q42" s="4"/>
      <c r="R42" s="4"/>
      <c r="S42" s="4"/>
      <c r="T42" s="4"/>
      <c r="U42" s="4"/>
      <c r="V42" s="4"/>
    </row>
    <row r="43" spans="1:22" ht="12.75" x14ac:dyDescent="0.2">
      <c r="A43" s="80">
        <f t="shared" si="0"/>
        <v>310000</v>
      </c>
      <c r="B43" s="85">
        <f t="shared" si="20"/>
        <v>16400</v>
      </c>
      <c r="C43" s="4"/>
      <c r="D43" s="80">
        <f t="shared" si="2"/>
        <v>310000</v>
      </c>
      <c r="E43" s="86">
        <f t="shared" si="21"/>
        <v>13800</v>
      </c>
      <c r="F43" s="4"/>
      <c r="G43" s="80">
        <f t="shared" si="3"/>
        <v>310000</v>
      </c>
      <c r="H43" s="86">
        <f t="shared" si="22"/>
        <v>13800</v>
      </c>
      <c r="I43" s="4"/>
      <c r="J43" s="80">
        <f t="shared" si="4"/>
        <v>310000</v>
      </c>
      <c r="K43" s="86">
        <f t="shared" si="23"/>
        <v>11200</v>
      </c>
      <c r="L43" s="4"/>
      <c r="O43" s="4"/>
      <c r="P43" s="4"/>
      <c r="Q43" s="4"/>
      <c r="R43" s="4"/>
      <c r="S43" s="4"/>
      <c r="T43" s="4"/>
      <c r="U43" s="4"/>
      <c r="V43" s="4"/>
    </row>
    <row r="44" spans="1:22" ht="12.75" x14ac:dyDescent="0.2">
      <c r="A44" s="84">
        <f t="shared" si="0"/>
        <v>315000</v>
      </c>
      <c r="B44" s="85">
        <f t="shared" si="20"/>
        <v>16600</v>
      </c>
      <c r="C44" s="4"/>
      <c r="D44" s="84">
        <f t="shared" si="2"/>
        <v>315000</v>
      </c>
      <c r="E44" s="86">
        <f t="shared" si="21"/>
        <v>13950</v>
      </c>
      <c r="F44" s="4"/>
      <c r="G44" s="84">
        <f t="shared" si="3"/>
        <v>315000</v>
      </c>
      <c r="H44" s="86">
        <f t="shared" si="22"/>
        <v>13950</v>
      </c>
      <c r="I44" s="4"/>
      <c r="J44" s="84">
        <f t="shared" si="4"/>
        <v>315000</v>
      </c>
      <c r="K44" s="86">
        <f t="shared" si="23"/>
        <v>11300</v>
      </c>
      <c r="L44" s="4"/>
      <c r="O44" s="4"/>
      <c r="P44" s="4"/>
      <c r="Q44" s="4"/>
      <c r="R44" s="4"/>
      <c r="S44" s="4"/>
      <c r="T44" s="4"/>
      <c r="U44" s="4"/>
      <c r="V44" s="4"/>
    </row>
    <row r="45" spans="1:22" ht="12.75" x14ac:dyDescent="0.2">
      <c r="A45" s="80">
        <f t="shared" si="0"/>
        <v>320000</v>
      </c>
      <c r="B45" s="85">
        <f t="shared" si="20"/>
        <v>16800</v>
      </c>
      <c r="C45" s="4"/>
      <c r="D45" s="80">
        <f t="shared" si="2"/>
        <v>320000</v>
      </c>
      <c r="E45" s="86">
        <f t="shared" si="21"/>
        <v>14100</v>
      </c>
      <c r="F45" s="4"/>
      <c r="G45" s="80">
        <f t="shared" si="3"/>
        <v>320000</v>
      </c>
      <c r="H45" s="86">
        <f t="shared" si="22"/>
        <v>14100</v>
      </c>
      <c r="I45" s="4"/>
      <c r="J45" s="80">
        <f t="shared" si="4"/>
        <v>320000</v>
      </c>
      <c r="K45" s="86">
        <f t="shared" si="23"/>
        <v>11400</v>
      </c>
      <c r="L45" s="4"/>
      <c r="O45" s="4"/>
      <c r="P45" s="4"/>
      <c r="Q45" s="4"/>
      <c r="R45" s="4"/>
      <c r="S45" s="4"/>
      <c r="T45" s="4"/>
      <c r="U45" s="4"/>
      <c r="V45" s="4"/>
    </row>
    <row r="46" spans="1:22" ht="12.75" x14ac:dyDescent="0.2">
      <c r="A46" s="84">
        <f t="shared" si="0"/>
        <v>325000</v>
      </c>
      <c r="B46" s="85">
        <f t="shared" si="20"/>
        <v>17000</v>
      </c>
      <c r="C46" s="4"/>
      <c r="D46" s="84">
        <f t="shared" si="2"/>
        <v>325000</v>
      </c>
      <c r="E46" s="86">
        <f t="shared" si="21"/>
        <v>14250</v>
      </c>
      <c r="F46" s="4"/>
      <c r="G46" s="84">
        <f t="shared" si="3"/>
        <v>325000</v>
      </c>
      <c r="H46" s="86">
        <f t="shared" si="22"/>
        <v>14250</v>
      </c>
      <c r="I46" s="4"/>
      <c r="J46" s="84">
        <f t="shared" si="4"/>
        <v>325000</v>
      </c>
      <c r="K46" s="86">
        <f t="shared" si="23"/>
        <v>11500</v>
      </c>
      <c r="L46" s="4"/>
      <c r="O46" s="4"/>
      <c r="P46" s="4"/>
      <c r="Q46" s="4"/>
      <c r="R46" s="4"/>
      <c r="S46" s="4"/>
      <c r="T46" s="4"/>
      <c r="U46" s="4"/>
      <c r="V46" s="4"/>
    </row>
    <row r="47" spans="1:22" ht="12.75" x14ac:dyDescent="0.2">
      <c r="A47" s="80">
        <f t="shared" si="0"/>
        <v>330000</v>
      </c>
      <c r="B47" s="85">
        <f t="shared" si="20"/>
        <v>17200</v>
      </c>
      <c r="C47" s="4"/>
      <c r="D47" s="80">
        <f t="shared" si="2"/>
        <v>330000</v>
      </c>
      <c r="E47" s="86">
        <f t="shared" si="21"/>
        <v>14400</v>
      </c>
      <c r="F47" s="4"/>
      <c r="G47" s="80">
        <f t="shared" si="3"/>
        <v>330000</v>
      </c>
      <c r="H47" s="86">
        <f t="shared" si="22"/>
        <v>14400</v>
      </c>
      <c r="I47" s="4"/>
      <c r="J47" s="80">
        <f t="shared" si="4"/>
        <v>330000</v>
      </c>
      <c r="K47" s="86">
        <f t="shared" si="23"/>
        <v>11600</v>
      </c>
      <c r="L47" s="4"/>
      <c r="O47" s="4"/>
      <c r="P47" s="4"/>
      <c r="Q47" s="4"/>
      <c r="R47" s="4"/>
      <c r="S47" s="4"/>
      <c r="T47" s="4"/>
      <c r="U47" s="4"/>
      <c r="V47" s="4"/>
    </row>
    <row r="48" spans="1:22" ht="12.75" x14ac:dyDescent="0.2">
      <c r="A48" s="84">
        <f t="shared" si="0"/>
        <v>335000</v>
      </c>
      <c r="B48" s="85">
        <f t="shared" si="20"/>
        <v>17400</v>
      </c>
      <c r="C48" s="4"/>
      <c r="D48" s="84">
        <f t="shared" si="2"/>
        <v>335000</v>
      </c>
      <c r="E48" s="86">
        <f t="shared" si="21"/>
        <v>14550</v>
      </c>
      <c r="F48" s="4"/>
      <c r="G48" s="84">
        <f t="shared" si="3"/>
        <v>335000</v>
      </c>
      <c r="H48" s="86">
        <f t="shared" si="22"/>
        <v>14550</v>
      </c>
      <c r="I48" s="4"/>
      <c r="J48" s="84">
        <f t="shared" si="4"/>
        <v>335000</v>
      </c>
      <c r="K48" s="86">
        <f t="shared" si="23"/>
        <v>11700</v>
      </c>
      <c r="L48" s="4"/>
      <c r="O48" s="4"/>
      <c r="P48" s="4"/>
      <c r="Q48" s="4"/>
      <c r="R48" s="4"/>
      <c r="S48" s="4"/>
      <c r="T48" s="4"/>
      <c r="U48" s="4"/>
      <c r="V48" s="4"/>
    </row>
    <row r="49" spans="1:22" ht="12.75" x14ac:dyDescent="0.2">
      <c r="A49" s="80">
        <f t="shared" si="0"/>
        <v>340000</v>
      </c>
      <c r="B49" s="85">
        <f t="shared" si="20"/>
        <v>17600</v>
      </c>
      <c r="C49" s="4"/>
      <c r="D49" s="80">
        <f t="shared" si="2"/>
        <v>340000</v>
      </c>
      <c r="E49" s="86">
        <f t="shared" si="21"/>
        <v>14700</v>
      </c>
      <c r="F49" s="4"/>
      <c r="G49" s="80">
        <f t="shared" si="3"/>
        <v>340000</v>
      </c>
      <c r="H49" s="86">
        <f t="shared" si="22"/>
        <v>14700</v>
      </c>
      <c r="I49" s="4"/>
      <c r="J49" s="80">
        <f t="shared" si="4"/>
        <v>340000</v>
      </c>
      <c r="K49" s="86">
        <f t="shared" si="23"/>
        <v>11800</v>
      </c>
      <c r="L49" s="4"/>
      <c r="O49" s="4"/>
      <c r="P49" s="4"/>
      <c r="Q49" s="4"/>
      <c r="R49" s="4"/>
      <c r="S49" s="4"/>
      <c r="T49" s="4"/>
      <c r="U49" s="4"/>
      <c r="V49" s="4"/>
    </row>
    <row r="50" spans="1:22" ht="12.75" x14ac:dyDescent="0.2">
      <c r="A50" s="84">
        <f t="shared" si="0"/>
        <v>345000</v>
      </c>
      <c r="B50" s="85">
        <f t="shared" si="20"/>
        <v>17800</v>
      </c>
      <c r="C50" s="4"/>
      <c r="D50" s="84">
        <f t="shared" si="2"/>
        <v>345000</v>
      </c>
      <c r="E50" s="86">
        <f t="shared" si="21"/>
        <v>14850</v>
      </c>
      <c r="F50" s="4"/>
      <c r="G50" s="84">
        <f t="shared" si="3"/>
        <v>345000</v>
      </c>
      <c r="H50" s="86">
        <f t="shared" si="22"/>
        <v>14850</v>
      </c>
      <c r="I50" s="4"/>
      <c r="J50" s="84">
        <f t="shared" si="4"/>
        <v>345000</v>
      </c>
      <c r="K50" s="86">
        <f t="shared" si="23"/>
        <v>11900</v>
      </c>
      <c r="L50" s="4"/>
      <c r="O50" s="4"/>
      <c r="P50" s="4"/>
      <c r="Q50" s="4"/>
      <c r="R50" s="4"/>
      <c r="S50" s="4"/>
      <c r="T50" s="4"/>
      <c r="U50" s="4"/>
      <c r="V50" s="4"/>
    </row>
    <row r="51" spans="1:22" ht="12.75" x14ac:dyDescent="0.2">
      <c r="A51" s="80">
        <f t="shared" si="0"/>
        <v>350000</v>
      </c>
      <c r="B51" s="87">
        <v>18000</v>
      </c>
      <c r="C51" s="4"/>
      <c r="D51" s="80">
        <f t="shared" si="2"/>
        <v>350000</v>
      </c>
      <c r="E51" s="88">
        <f t="shared" si="21"/>
        <v>15000</v>
      </c>
      <c r="F51" s="4"/>
      <c r="G51" s="80">
        <f t="shared" si="3"/>
        <v>350000</v>
      </c>
      <c r="H51" s="88">
        <f t="shared" si="22"/>
        <v>15000</v>
      </c>
      <c r="I51" s="4"/>
      <c r="J51" s="80">
        <f t="shared" si="4"/>
        <v>350000</v>
      </c>
      <c r="K51" s="89">
        <v>12000</v>
      </c>
      <c r="L51" s="4"/>
      <c r="O51" s="4"/>
      <c r="P51" s="4"/>
      <c r="Q51" s="4"/>
      <c r="R51" s="4"/>
      <c r="S51" s="4"/>
      <c r="T51" s="4"/>
      <c r="U51" s="4"/>
      <c r="V51" s="4"/>
    </row>
    <row r="52" spans="1:22" ht="12.75" x14ac:dyDescent="0.2">
      <c r="A52" s="84">
        <f t="shared" si="0"/>
        <v>355000</v>
      </c>
      <c r="B52" s="85">
        <f t="shared" ref="B52:B60" si="24">B51+200</f>
        <v>18200</v>
      </c>
      <c r="C52" s="4"/>
      <c r="D52" s="84">
        <f t="shared" si="2"/>
        <v>355000</v>
      </c>
      <c r="E52" s="86">
        <f t="shared" si="21"/>
        <v>15150</v>
      </c>
      <c r="F52" s="4"/>
      <c r="G52" s="84">
        <f t="shared" si="3"/>
        <v>355000</v>
      </c>
      <c r="H52" s="86">
        <f t="shared" si="22"/>
        <v>15150</v>
      </c>
      <c r="I52" s="4"/>
      <c r="J52" s="84">
        <f t="shared" si="4"/>
        <v>355000</v>
      </c>
      <c r="K52" s="86">
        <f t="shared" ref="K52:K60" si="25">K51+100</f>
        <v>12100</v>
      </c>
      <c r="L52" s="4"/>
      <c r="O52" s="4"/>
      <c r="P52" s="4"/>
      <c r="Q52" s="4"/>
      <c r="R52" s="4"/>
      <c r="S52" s="4"/>
      <c r="T52" s="4"/>
      <c r="U52" s="4"/>
      <c r="V52" s="4"/>
    </row>
    <row r="53" spans="1:22" ht="12.75" x14ac:dyDescent="0.2">
      <c r="A53" s="80">
        <f t="shared" si="0"/>
        <v>360000</v>
      </c>
      <c r="B53" s="85">
        <f t="shared" si="24"/>
        <v>18400</v>
      </c>
      <c r="C53" s="4"/>
      <c r="D53" s="80">
        <f t="shared" si="2"/>
        <v>360000</v>
      </c>
      <c r="E53" s="86">
        <f t="shared" si="21"/>
        <v>15300</v>
      </c>
      <c r="F53" s="4"/>
      <c r="G53" s="80">
        <f t="shared" si="3"/>
        <v>360000</v>
      </c>
      <c r="H53" s="86">
        <f t="shared" si="22"/>
        <v>15300</v>
      </c>
      <c r="I53" s="4"/>
      <c r="J53" s="80">
        <f t="shared" si="4"/>
        <v>360000</v>
      </c>
      <c r="K53" s="86">
        <f t="shared" si="25"/>
        <v>12200</v>
      </c>
      <c r="L53" s="4"/>
      <c r="O53" s="4"/>
      <c r="P53" s="4"/>
      <c r="Q53" s="4"/>
      <c r="R53" s="4"/>
      <c r="S53" s="4"/>
      <c r="T53" s="4"/>
      <c r="U53" s="4"/>
      <c r="V53" s="4"/>
    </row>
    <row r="54" spans="1:22" ht="12.75" x14ac:dyDescent="0.2">
      <c r="A54" s="84">
        <f t="shared" si="0"/>
        <v>365000</v>
      </c>
      <c r="B54" s="85">
        <f t="shared" si="24"/>
        <v>18600</v>
      </c>
      <c r="C54" s="4"/>
      <c r="D54" s="84">
        <f t="shared" si="2"/>
        <v>365000</v>
      </c>
      <c r="E54" s="86">
        <f t="shared" si="21"/>
        <v>15450</v>
      </c>
      <c r="F54" s="4"/>
      <c r="G54" s="84">
        <f t="shared" si="3"/>
        <v>365000</v>
      </c>
      <c r="H54" s="86">
        <f t="shared" si="22"/>
        <v>15450</v>
      </c>
      <c r="I54" s="4"/>
      <c r="J54" s="84">
        <f t="shared" si="4"/>
        <v>365000</v>
      </c>
      <c r="K54" s="86">
        <f t="shared" si="25"/>
        <v>12300</v>
      </c>
      <c r="L54" s="4"/>
      <c r="O54" s="4"/>
      <c r="P54" s="4"/>
      <c r="Q54" s="4"/>
      <c r="R54" s="4"/>
      <c r="S54" s="4"/>
      <c r="T54" s="4"/>
      <c r="U54" s="4"/>
      <c r="V54" s="4"/>
    </row>
    <row r="55" spans="1:22" ht="12.75" x14ac:dyDescent="0.2">
      <c r="A55" s="80">
        <f t="shared" si="0"/>
        <v>370000</v>
      </c>
      <c r="B55" s="85">
        <f t="shared" si="24"/>
        <v>18800</v>
      </c>
      <c r="C55" s="4"/>
      <c r="D55" s="80">
        <f t="shared" si="2"/>
        <v>370000</v>
      </c>
      <c r="E55" s="86">
        <f t="shared" si="21"/>
        <v>15600</v>
      </c>
      <c r="F55" s="4"/>
      <c r="G55" s="80">
        <f t="shared" si="3"/>
        <v>370000</v>
      </c>
      <c r="H55" s="86">
        <f t="shared" si="22"/>
        <v>15600</v>
      </c>
      <c r="I55" s="4"/>
      <c r="J55" s="80">
        <f t="shared" si="4"/>
        <v>370000</v>
      </c>
      <c r="K55" s="86">
        <f t="shared" si="25"/>
        <v>12400</v>
      </c>
      <c r="L55" s="4"/>
      <c r="O55" s="4"/>
      <c r="P55" s="4"/>
      <c r="Q55" s="4"/>
      <c r="R55" s="4"/>
      <c r="S55" s="4"/>
      <c r="T55" s="4"/>
      <c r="U55" s="4"/>
      <c r="V55" s="4"/>
    </row>
    <row r="56" spans="1:22" ht="12.75" x14ac:dyDescent="0.2">
      <c r="A56" s="84">
        <f t="shared" si="0"/>
        <v>375000</v>
      </c>
      <c r="B56" s="85">
        <f t="shared" si="24"/>
        <v>19000</v>
      </c>
      <c r="C56" s="4"/>
      <c r="D56" s="84">
        <f t="shared" si="2"/>
        <v>375000</v>
      </c>
      <c r="E56" s="86">
        <f t="shared" si="21"/>
        <v>15750</v>
      </c>
      <c r="F56" s="4"/>
      <c r="G56" s="84">
        <f t="shared" si="3"/>
        <v>375000</v>
      </c>
      <c r="H56" s="86">
        <f t="shared" si="22"/>
        <v>15750</v>
      </c>
      <c r="I56" s="4"/>
      <c r="J56" s="84">
        <f t="shared" si="4"/>
        <v>375000</v>
      </c>
      <c r="K56" s="86">
        <f t="shared" si="25"/>
        <v>12500</v>
      </c>
      <c r="L56" s="4"/>
      <c r="O56" s="4"/>
      <c r="P56" s="4"/>
      <c r="Q56" s="4"/>
      <c r="R56" s="4"/>
      <c r="S56" s="4"/>
      <c r="T56" s="4"/>
      <c r="U56" s="4"/>
      <c r="V56" s="4"/>
    </row>
    <row r="57" spans="1:22" ht="12.75" x14ac:dyDescent="0.2">
      <c r="A57" s="80">
        <f t="shared" si="0"/>
        <v>380000</v>
      </c>
      <c r="B57" s="85">
        <f t="shared" si="24"/>
        <v>19200</v>
      </c>
      <c r="C57" s="4"/>
      <c r="D57" s="80">
        <f t="shared" si="2"/>
        <v>380000</v>
      </c>
      <c r="E57" s="86">
        <f t="shared" si="21"/>
        <v>15900</v>
      </c>
      <c r="F57" s="4"/>
      <c r="G57" s="80">
        <f t="shared" si="3"/>
        <v>380000</v>
      </c>
      <c r="H57" s="86">
        <f t="shared" si="22"/>
        <v>15900</v>
      </c>
      <c r="I57" s="4"/>
      <c r="J57" s="80">
        <f t="shared" si="4"/>
        <v>380000</v>
      </c>
      <c r="K57" s="86">
        <f t="shared" si="25"/>
        <v>12600</v>
      </c>
      <c r="L57" s="4"/>
      <c r="O57" s="4"/>
      <c r="P57" s="4"/>
      <c r="Q57" s="4"/>
      <c r="R57" s="4"/>
      <c r="S57" s="4"/>
      <c r="T57" s="4"/>
      <c r="U57" s="4"/>
      <c r="V57" s="4"/>
    </row>
    <row r="58" spans="1:22" ht="12.75" x14ac:dyDescent="0.2">
      <c r="A58" s="84">
        <f t="shared" si="0"/>
        <v>385000</v>
      </c>
      <c r="B58" s="85">
        <f t="shared" si="24"/>
        <v>19400</v>
      </c>
      <c r="C58" s="4"/>
      <c r="D58" s="84">
        <f t="shared" si="2"/>
        <v>385000</v>
      </c>
      <c r="E58" s="86">
        <f t="shared" si="21"/>
        <v>16050</v>
      </c>
      <c r="F58" s="4"/>
      <c r="G58" s="84">
        <f t="shared" si="3"/>
        <v>385000</v>
      </c>
      <c r="H58" s="86">
        <f t="shared" si="22"/>
        <v>16050</v>
      </c>
      <c r="I58" s="4"/>
      <c r="J58" s="84">
        <f t="shared" si="4"/>
        <v>385000</v>
      </c>
      <c r="K58" s="86">
        <f t="shared" si="25"/>
        <v>12700</v>
      </c>
      <c r="L58" s="4"/>
      <c r="O58" s="4"/>
      <c r="P58" s="4"/>
      <c r="Q58" s="4"/>
      <c r="R58" s="4"/>
      <c r="S58" s="4"/>
      <c r="T58" s="4"/>
      <c r="U58" s="4"/>
      <c r="V58" s="4"/>
    </row>
    <row r="59" spans="1:22" ht="12.75" x14ac:dyDescent="0.2">
      <c r="A59" s="80">
        <f t="shared" si="0"/>
        <v>390000</v>
      </c>
      <c r="B59" s="85">
        <f t="shared" si="24"/>
        <v>19600</v>
      </c>
      <c r="C59" s="4"/>
      <c r="D59" s="80">
        <f t="shared" si="2"/>
        <v>390000</v>
      </c>
      <c r="E59" s="86">
        <f t="shared" si="21"/>
        <v>16200</v>
      </c>
      <c r="F59" s="4"/>
      <c r="G59" s="80">
        <f t="shared" si="3"/>
        <v>390000</v>
      </c>
      <c r="H59" s="86">
        <f t="shared" si="22"/>
        <v>16200</v>
      </c>
      <c r="I59" s="4"/>
      <c r="J59" s="80">
        <f t="shared" si="4"/>
        <v>390000</v>
      </c>
      <c r="K59" s="86">
        <f t="shared" si="25"/>
        <v>12800</v>
      </c>
      <c r="L59" s="4"/>
      <c r="O59" s="4"/>
      <c r="P59" s="4"/>
      <c r="Q59" s="4"/>
      <c r="R59" s="4"/>
      <c r="S59" s="4"/>
      <c r="T59" s="4"/>
      <c r="U59" s="4"/>
      <c r="V59" s="4"/>
    </row>
    <row r="60" spans="1:22" ht="12.75" x14ac:dyDescent="0.2">
      <c r="A60" s="84">
        <f t="shared" si="0"/>
        <v>395000</v>
      </c>
      <c r="B60" s="85">
        <f t="shared" si="24"/>
        <v>19800</v>
      </c>
      <c r="C60" s="4"/>
      <c r="D60" s="84">
        <f t="shared" si="2"/>
        <v>395000</v>
      </c>
      <c r="E60" s="86">
        <f t="shared" si="21"/>
        <v>16350</v>
      </c>
      <c r="F60" s="4"/>
      <c r="G60" s="84">
        <f t="shared" si="3"/>
        <v>395000</v>
      </c>
      <c r="H60" s="86">
        <f t="shared" si="22"/>
        <v>16350</v>
      </c>
      <c r="I60" s="4"/>
      <c r="J60" s="84">
        <f t="shared" si="4"/>
        <v>395000</v>
      </c>
      <c r="K60" s="86">
        <f t="shared" si="25"/>
        <v>12900</v>
      </c>
      <c r="L60" s="4"/>
      <c r="O60" s="4"/>
      <c r="P60" s="4"/>
      <c r="Q60" s="4"/>
      <c r="R60" s="4"/>
      <c r="S60" s="4"/>
      <c r="T60" s="4"/>
      <c r="U60" s="4"/>
      <c r="V60" s="4"/>
    </row>
    <row r="61" spans="1:22" ht="12.75" x14ac:dyDescent="0.2">
      <c r="A61" s="80">
        <f t="shared" si="0"/>
        <v>400000</v>
      </c>
      <c r="B61" s="87">
        <v>20000</v>
      </c>
      <c r="C61" s="4"/>
      <c r="D61" s="80">
        <f t="shared" si="2"/>
        <v>400000</v>
      </c>
      <c r="E61" s="88">
        <f t="shared" si="21"/>
        <v>16500</v>
      </c>
      <c r="F61" s="4"/>
      <c r="G61" s="80">
        <f t="shared" si="3"/>
        <v>400000</v>
      </c>
      <c r="H61" s="88">
        <f t="shared" si="22"/>
        <v>16500</v>
      </c>
      <c r="I61" s="4"/>
      <c r="J61" s="80">
        <f t="shared" si="4"/>
        <v>400000</v>
      </c>
      <c r="K61" s="89">
        <v>13000</v>
      </c>
      <c r="L61" s="4"/>
      <c r="O61" s="4"/>
      <c r="P61" s="4"/>
      <c r="Q61" s="4"/>
      <c r="R61" s="4"/>
      <c r="S61" s="4"/>
      <c r="T61" s="4"/>
      <c r="U61" s="4"/>
      <c r="V61" s="4"/>
    </row>
    <row r="62" spans="1:22" ht="12.75" x14ac:dyDescent="0.2">
      <c r="A62" s="2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2.75" x14ac:dyDescent="0.2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2.75" x14ac:dyDescent="0.2">
      <c r="A64" s="2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107" t="s">
        <v>75</v>
      </c>
      <c r="N64" s="108"/>
      <c r="O64" s="4"/>
      <c r="R64" s="4"/>
      <c r="S64" s="4"/>
      <c r="T64" s="4"/>
      <c r="U64" s="4"/>
      <c r="V64" s="4"/>
    </row>
    <row r="65" spans="1:22" ht="12.75" x14ac:dyDescent="0.2">
      <c r="A65" s="2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78" t="s">
        <v>73</v>
      </c>
      <c r="N65" s="79" t="s">
        <v>74</v>
      </c>
      <c r="O65" s="4"/>
      <c r="R65" s="4"/>
      <c r="S65" s="4"/>
      <c r="T65" s="4"/>
      <c r="U65" s="4"/>
      <c r="V65" s="4"/>
    </row>
    <row r="66" spans="1:22" ht="12.75" x14ac:dyDescent="0.2">
      <c r="A66" s="2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90">
        <v>200000</v>
      </c>
      <c r="N66" s="83">
        <v>5200</v>
      </c>
      <c r="O66" s="4"/>
      <c r="R66" s="4"/>
      <c r="S66" s="4"/>
      <c r="T66" s="4"/>
      <c r="U66" s="4"/>
      <c r="V66" s="4"/>
    </row>
    <row r="67" spans="1:22" ht="12.75" x14ac:dyDescent="0.2">
      <c r="A67" s="2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84">
        <f t="shared" ref="M67:M106" si="26">M66+5000</f>
        <v>205000</v>
      </c>
      <c r="N67" s="86">
        <f t="shared" ref="N67:N106" si="27">N66+37.5</f>
        <v>5237.5</v>
      </c>
      <c r="O67" s="4"/>
      <c r="R67" s="4"/>
      <c r="S67" s="4"/>
      <c r="T67" s="4"/>
      <c r="U67" s="4"/>
      <c r="V67" s="4"/>
    </row>
    <row r="68" spans="1:22" ht="12.75" x14ac:dyDescent="0.2">
      <c r="A68" s="2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80">
        <f t="shared" si="26"/>
        <v>210000</v>
      </c>
      <c r="N68" s="86">
        <f t="shared" si="27"/>
        <v>5275</v>
      </c>
      <c r="O68" s="4"/>
      <c r="R68" s="4"/>
      <c r="S68" s="4"/>
      <c r="T68" s="4"/>
      <c r="U68" s="4"/>
      <c r="V68" s="4"/>
    </row>
    <row r="69" spans="1:22" ht="12.75" x14ac:dyDescent="0.2">
      <c r="A69" s="2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84">
        <f t="shared" si="26"/>
        <v>215000</v>
      </c>
      <c r="N69" s="86">
        <f t="shared" si="27"/>
        <v>5312.5</v>
      </c>
      <c r="O69" s="4"/>
      <c r="R69" s="4"/>
      <c r="S69" s="4"/>
      <c r="T69" s="4"/>
      <c r="U69" s="4"/>
      <c r="V69" s="4"/>
    </row>
    <row r="70" spans="1:22" ht="12.75" x14ac:dyDescent="0.2">
      <c r="A70" s="2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80">
        <f t="shared" si="26"/>
        <v>220000</v>
      </c>
      <c r="N70" s="86">
        <f t="shared" si="27"/>
        <v>5350</v>
      </c>
      <c r="O70" s="4"/>
      <c r="R70" s="4"/>
      <c r="S70" s="4"/>
      <c r="T70" s="4"/>
      <c r="U70" s="4"/>
      <c r="V70" s="4"/>
    </row>
    <row r="71" spans="1:22" ht="12.75" x14ac:dyDescent="0.2">
      <c r="A71" s="2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84">
        <f t="shared" si="26"/>
        <v>225000</v>
      </c>
      <c r="N71" s="86">
        <f t="shared" si="27"/>
        <v>5387.5</v>
      </c>
      <c r="O71" s="4"/>
      <c r="R71" s="4"/>
      <c r="S71" s="4"/>
      <c r="T71" s="4"/>
      <c r="U71" s="4"/>
      <c r="V71" s="4"/>
    </row>
    <row r="72" spans="1:22" ht="12.75" x14ac:dyDescent="0.2">
      <c r="A72" s="2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80">
        <f t="shared" si="26"/>
        <v>230000</v>
      </c>
      <c r="N72" s="86">
        <f t="shared" si="27"/>
        <v>5425</v>
      </c>
      <c r="O72" s="4"/>
      <c r="R72" s="4"/>
      <c r="S72" s="4"/>
      <c r="T72" s="4"/>
      <c r="U72" s="4"/>
      <c r="V72" s="4"/>
    </row>
    <row r="73" spans="1:22" ht="12.75" x14ac:dyDescent="0.2">
      <c r="A73" s="2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84">
        <f t="shared" si="26"/>
        <v>235000</v>
      </c>
      <c r="N73" s="86">
        <f t="shared" si="27"/>
        <v>5462.5</v>
      </c>
      <c r="O73" s="4"/>
      <c r="R73" s="4"/>
      <c r="S73" s="4"/>
      <c r="T73" s="4"/>
      <c r="U73" s="4"/>
      <c r="V73" s="4"/>
    </row>
    <row r="74" spans="1:22" ht="12.75" x14ac:dyDescent="0.2">
      <c r="A74" s="2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80">
        <f t="shared" si="26"/>
        <v>240000</v>
      </c>
      <c r="N74" s="86">
        <f t="shared" si="27"/>
        <v>5500</v>
      </c>
      <c r="O74" s="4"/>
      <c r="R74" s="4"/>
      <c r="S74" s="4"/>
      <c r="T74" s="4"/>
      <c r="U74" s="4"/>
      <c r="V74" s="4"/>
    </row>
    <row r="75" spans="1:22" ht="12.75" x14ac:dyDescent="0.2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84">
        <f t="shared" si="26"/>
        <v>245000</v>
      </c>
      <c r="N75" s="86">
        <f t="shared" si="27"/>
        <v>5537.5</v>
      </c>
      <c r="O75" s="4"/>
      <c r="R75" s="4"/>
      <c r="S75" s="4"/>
      <c r="T75" s="4"/>
      <c r="U75" s="4"/>
      <c r="V75" s="4"/>
    </row>
    <row r="76" spans="1:22" ht="12.75" x14ac:dyDescent="0.2">
      <c r="A76" s="2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80">
        <f t="shared" si="26"/>
        <v>250000</v>
      </c>
      <c r="N76" s="86">
        <f t="shared" si="27"/>
        <v>5575</v>
      </c>
      <c r="O76" s="4"/>
      <c r="R76" s="4"/>
      <c r="S76" s="4"/>
      <c r="T76" s="4"/>
      <c r="U76" s="4"/>
      <c r="V76" s="4"/>
    </row>
    <row r="77" spans="1:22" ht="12.75" x14ac:dyDescent="0.2">
      <c r="A77" s="2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84">
        <f t="shared" si="26"/>
        <v>255000</v>
      </c>
      <c r="N77" s="86">
        <f t="shared" si="27"/>
        <v>5612.5</v>
      </c>
      <c r="O77" s="4"/>
      <c r="R77" s="4"/>
      <c r="S77" s="4"/>
      <c r="T77" s="4"/>
      <c r="U77" s="4"/>
      <c r="V77" s="4"/>
    </row>
    <row r="78" spans="1:22" ht="12.75" x14ac:dyDescent="0.2">
      <c r="A78" s="2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80">
        <f t="shared" si="26"/>
        <v>260000</v>
      </c>
      <c r="N78" s="86">
        <f t="shared" si="27"/>
        <v>5650</v>
      </c>
      <c r="O78" s="4"/>
      <c r="R78" s="4"/>
      <c r="S78" s="4"/>
      <c r="T78" s="4"/>
      <c r="U78" s="4"/>
      <c r="V78" s="4"/>
    </row>
    <row r="79" spans="1:22" ht="12.75" x14ac:dyDescent="0.2">
      <c r="A79" s="2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84">
        <f t="shared" si="26"/>
        <v>265000</v>
      </c>
      <c r="N79" s="86">
        <f t="shared" si="27"/>
        <v>5687.5</v>
      </c>
      <c r="O79" s="4"/>
      <c r="R79" s="4"/>
      <c r="S79" s="4"/>
      <c r="T79" s="4"/>
      <c r="U79" s="4"/>
      <c r="V79" s="4"/>
    </row>
    <row r="80" spans="1:22" ht="12.75" x14ac:dyDescent="0.2">
      <c r="A80" s="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80">
        <f t="shared" si="26"/>
        <v>270000</v>
      </c>
      <c r="N80" s="86">
        <f t="shared" si="27"/>
        <v>5725</v>
      </c>
      <c r="O80" s="4"/>
      <c r="R80" s="4"/>
      <c r="S80" s="4"/>
      <c r="T80" s="4"/>
      <c r="U80" s="4"/>
      <c r="V80" s="4"/>
    </row>
    <row r="81" spans="1:22" ht="12.75" x14ac:dyDescent="0.2">
      <c r="A81" s="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84">
        <f t="shared" si="26"/>
        <v>275000</v>
      </c>
      <c r="N81" s="86">
        <f t="shared" si="27"/>
        <v>5762.5</v>
      </c>
      <c r="O81" s="4"/>
      <c r="R81" s="4"/>
      <c r="S81" s="4"/>
      <c r="T81" s="4"/>
      <c r="U81" s="4"/>
      <c r="V81" s="4"/>
    </row>
    <row r="82" spans="1:22" ht="12.75" x14ac:dyDescent="0.2">
      <c r="A82" s="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80">
        <f t="shared" si="26"/>
        <v>280000</v>
      </c>
      <c r="N82" s="86">
        <f t="shared" si="27"/>
        <v>5800</v>
      </c>
      <c r="O82" s="4"/>
      <c r="R82" s="4"/>
      <c r="S82" s="4"/>
      <c r="T82" s="4"/>
      <c r="U82" s="4"/>
      <c r="V82" s="4"/>
    </row>
    <row r="83" spans="1:22" ht="12.75" x14ac:dyDescent="0.2">
      <c r="A83" s="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84">
        <f t="shared" si="26"/>
        <v>285000</v>
      </c>
      <c r="N83" s="86">
        <f t="shared" si="27"/>
        <v>5837.5</v>
      </c>
      <c r="O83" s="4"/>
      <c r="R83" s="4"/>
      <c r="S83" s="4"/>
      <c r="T83" s="4"/>
      <c r="U83" s="4"/>
      <c r="V83" s="4"/>
    </row>
    <row r="84" spans="1:22" ht="12.75" x14ac:dyDescent="0.2">
      <c r="A84" s="2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80">
        <f t="shared" si="26"/>
        <v>290000</v>
      </c>
      <c r="N84" s="86">
        <f t="shared" si="27"/>
        <v>5875</v>
      </c>
      <c r="O84" s="4"/>
      <c r="R84" s="4"/>
      <c r="S84" s="4"/>
      <c r="T84" s="4"/>
      <c r="U84" s="4"/>
      <c r="V84" s="4"/>
    </row>
    <row r="85" spans="1:22" ht="12.75" x14ac:dyDescent="0.2">
      <c r="A85" s="2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84">
        <f t="shared" si="26"/>
        <v>295000</v>
      </c>
      <c r="N85" s="86">
        <f t="shared" si="27"/>
        <v>5912.5</v>
      </c>
      <c r="O85" s="4"/>
      <c r="R85" s="4"/>
      <c r="S85" s="4"/>
      <c r="T85" s="4"/>
      <c r="U85" s="4"/>
      <c r="V85" s="4"/>
    </row>
    <row r="86" spans="1:22" ht="12.75" x14ac:dyDescent="0.2">
      <c r="A86" s="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80">
        <f t="shared" si="26"/>
        <v>300000</v>
      </c>
      <c r="N86" s="86">
        <f t="shared" si="27"/>
        <v>5950</v>
      </c>
      <c r="O86" s="4"/>
      <c r="R86" s="4"/>
      <c r="S86" s="4"/>
      <c r="T86" s="4"/>
      <c r="U86" s="4"/>
      <c r="V86" s="4"/>
    </row>
    <row r="87" spans="1:22" ht="12.75" x14ac:dyDescent="0.2">
      <c r="A87" s="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84">
        <f t="shared" si="26"/>
        <v>305000</v>
      </c>
      <c r="N87" s="86">
        <f t="shared" si="27"/>
        <v>5987.5</v>
      </c>
      <c r="O87" s="4"/>
      <c r="R87" s="4"/>
      <c r="S87" s="4"/>
      <c r="T87" s="4"/>
      <c r="U87" s="4"/>
      <c r="V87" s="4"/>
    </row>
    <row r="88" spans="1:22" ht="12.75" x14ac:dyDescent="0.2">
      <c r="A88" s="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80">
        <f t="shared" si="26"/>
        <v>310000</v>
      </c>
      <c r="N88" s="86">
        <f t="shared" si="27"/>
        <v>6025</v>
      </c>
      <c r="O88" s="4"/>
      <c r="R88" s="4"/>
      <c r="S88" s="4"/>
      <c r="T88" s="4"/>
      <c r="U88" s="4"/>
      <c r="V88" s="4"/>
    </row>
    <row r="89" spans="1:22" ht="12.75" x14ac:dyDescent="0.2">
      <c r="A89" s="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84">
        <f t="shared" si="26"/>
        <v>315000</v>
      </c>
      <c r="N89" s="86">
        <f t="shared" si="27"/>
        <v>6062.5</v>
      </c>
      <c r="O89" s="4"/>
      <c r="R89" s="4"/>
      <c r="S89" s="4"/>
      <c r="T89" s="4"/>
      <c r="U89" s="4"/>
      <c r="V89" s="4"/>
    </row>
    <row r="90" spans="1:22" ht="12.75" x14ac:dyDescent="0.2">
      <c r="A90" s="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80">
        <f t="shared" si="26"/>
        <v>320000</v>
      </c>
      <c r="N90" s="86">
        <f t="shared" si="27"/>
        <v>6100</v>
      </c>
      <c r="O90" s="4"/>
      <c r="R90" s="4"/>
      <c r="S90" s="4"/>
      <c r="T90" s="4"/>
      <c r="U90" s="4"/>
      <c r="V90" s="4"/>
    </row>
    <row r="91" spans="1:22" ht="12.75" x14ac:dyDescent="0.2">
      <c r="A91" s="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84">
        <f t="shared" si="26"/>
        <v>325000</v>
      </c>
      <c r="N91" s="86">
        <f t="shared" si="27"/>
        <v>6137.5</v>
      </c>
      <c r="O91" s="4"/>
      <c r="R91" s="4"/>
      <c r="S91" s="4"/>
      <c r="T91" s="4"/>
      <c r="U91" s="4"/>
      <c r="V91" s="4"/>
    </row>
    <row r="92" spans="1:22" ht="12.75" x14ac:dyDescent="0.2">
      <c r="A92" s="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80">
        <f t="shared" si="26"/>
        <v>330000</v>
      </c>
      <c r="N92" s="86">
        <f t="shared" si="27"/>
        <v>6175</v>
      </c>
      <c r="O92" s="4"/>
      <c r="R92" s="4"/>
      <c r="S92" s="4"/>
      <c r="T92" s="4"/>
      <c r="U92" s="4"/>
      <c r="V92" s="4"/>
    </row>
    <row r="93" spans="1:22" ht="12.75" x14ac:dyDescent="0.2">
      <c r="A93" s="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84">
        <f t="shared" si="26"/>
        <v>335000</v>
      </c>
      <c r="N93" s="86">
        <f t="shared" si="27"/>
        <v>6212.5</v>
      </c>
      <c r="O93" s="4"/>
      <c r="R93" s="4"/>
      <c r="S93" s="4"/>
      <c r="T93" s="4"/>
      <c r="U93" s="4"/>
      <c r="V93" s="4"/>
    </row>
    <row r="94" spans="1:22" ht="12.75" x14ac:dyDescent="0.2">
      <c r="A94" s="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80">
        <f t="shared" si="26"/>
        <v>340000</v>
      </c>
      <c r="N94" s="86">
        <f t="shared" si="27"/>
        <v>6250</v>
      </c>
      <c r="O94" s="4"/>
      <c r="R94" s="4"/>
      <c r="S94" s="4"/>
      <c r="T94" s="4"/>
      <c r="U94" s="4"/>
      <c r="V94" s="4"/>
    </row>
    <row r="95" spans="1:22" ht="12.75" x14ac:dyDescent="0.2">
      <c r="A95" s="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84">
        <f t="shared" si="26"/>
        <v>345000</v>
      </c>
      <c r="N95" s="86">
        <f t="shared" si="27"/>
        <v>6287.5</v>
      </c>
      <c r="O95" s="4"/>
      <c r="R95" s="4"/>
      <c r="S95" s="4"/>
      <c r="T95" s="4"/>
      <c r="U95" s="4"/>
      <c r="V95" s="4"/>
    </row>
    <row r="96" spans="1:22" ht="12.75" x14ac:dyDescent="0.2">
      <c r="A96" s="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80">
        <f t="shared" si="26"/>
        <v>350000</v>
      </c>
      <c r="N96" s="86">
        <f t="shared" si="27"/>
        <v>6325</v>
      </c>
      <c r="O96" s="4"/>
      <c r="R96" s="4"/>
      <c r="S96" s="4"/>
      <c r="T96" s="4"/>
      <c r="U96" s="4"/>
      <c r="V96" s="4"/>
    </row>
    <row r="97" spans="1:22" ht="12.75" x14ac:dyDescent="0.2">
      <c r="A97" s="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84">
        <f t="shared" si="26"/>
        <v>355000</v>
      </c>
      <c r="N97" s="86">
        <f t="shared" si="27"/>
        <v>6362.5</v>
      </c>
      <c r="O97" s="4"/>
      <c r="R97" s="4"/>
      <c r="S97" s="4"/>
      <c r="T97" s="4"/>
      <c r="U97" s="4"/>
      <c r="V97" s="4"/>
    </row>
    <row r="98" spans="1:22" ht="12.75" x14ac:dyDescent="0.2">
      <c r="A98" s="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80">
        <f t="shared" si="26"/>
        <v>360000</v>
      </c>
      <c r="N98" s="86">
        <f t="shared" si="27"/>
        <v>6400</v>
      </c>
      <c r="O98" s="4"/>
      <c r="R98" s="4"/>
      <c r="S98" s="4"/>
      <c r="T98" s="4"/>
      <c r="U98" s="4"/>
      <c r="V98" s="4"/>
    </row>
    <row r="99" spans="1:22" ht="12.75" x14ac:dyDescent="0.2">
      <c r="A99" s="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84">
        <f t="shared" si="26"/>
        <v>365000</v>
      </c>
      <c r="N99" s="86">
        <f t="shared" si="27"/>
        <v>6437.5</v>
      </c>
      <c r="O99" s="4"/>
      <c r="R99" s="4"/>
      <c r="S99" s="4"/>
      <c r="T99" s="4"/>
      <c r="U99" s="4"/>
      <c r="V99" s="4"/>
    </row>
    <row r="100" spans="1:22" ht="12.75" x14ac:dyDescent="0.2">
      <c r="A100" s="2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80">
        <f t="shared" si="26"/>
        <v>370000</v>
      </c>
      <c r="N100" s="86">
        <f t="shared" si="27"/>
        <v>6475</v>
      </c>
      <c r="O100" s="4"/>
      <c r="R100" s="4"/>
      <c r="S100" s="4"/>
      <c r="T100" s="4"/>
      <c r="U100" s="4"/>
      <c r="V100" s="4"/>
    </row>
    <row r="101" spans="1:22" ht="12.75" x14ac:dyDescent="0.2">
      <c r="A101" s="2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84">
        <f t="shared" si="26"/>
        <v>375000</v>
      </c>
      <c r="N101" s="86">
        <f t="shared" si="27"/>
        <v>6512.5</v>
      </c>
      <c r="O101" s="4"/>
      <c r="R101" s="4"/>
      <c r="S101" s="4"/>
      <c r="T101" s="4"/>
      <c r="U101" s="4"/>
      <c r="V101" s="4"/>
    </row>
    <row r="102" spans="1:22" ht="12.75" x14ac:dyDescent="0.2">
      <c r="A102" s="2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80">
        <f t="shared" si="26"/>
        <v>380000</v>
      </c>
      <c r="N102" s="86">
        <f t="shared" si="27"/>
        <v>6550</v>
      </c>
      <c r="O102" s="4"/>
      <c r="R102" s="4"/>
      <c r="S102" s="4"/>
      <c r="T102" s="4"/>
      <c r="U102" s="4"/>
      <c r="V102" s="4"/>
    </row>
    <row r="103" spans="1:22" ht="12.75" x14ac:dyDescent="0.2">
      <c r="A103" s="2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84">
        <f t="shared" si="26"/>
        <v>385000</v>
      </c>
      <c r="N103" s="86">
        <f t="shared" si="27"/>
        <v>6587.5</v>
      </c>
      <c r="O103" s="4"/>
      <c r="R103" s="4"/>
      <c r="S103" s="4"/>
      <c r="T103" s="4"/>
      <c r="U103" s="4"/>
      <c r="V103" s="4"/>
    </row>
    <row r="104" spans="1:22" ht="12.75" x14ac:dyDescent="0.2">
      <c r="A104" s="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80">
        <f t="shared" si="26"/>
        <v>390000</v>
      </c>
      <c r="N104" s="86">
        <f t="shared" si="27"/>
        <v>6625</v>
      </c>
      <c r="O104" s="4"/>
      <c r="R104" s="4"/>
      <c r="S104" s="4"/>
      <c r="T104" s="4"/>
      <c r="U104" s="4"/>
      <c r="V104" s="4"/>
    </row>
    <row r="105" spans="1:22" ht="12.75" x14ac:dyDescent="0.2">
      <c r="A105" s="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84">
        <f t="shared" si="26"/>
        <v>395000</v>
      </c>
      <c r="N105" s="86">
        <f t="shared" si="27"/>
        <v>6662.5</v>
      </c>
      <c r="O105" s="4"/>
      <c r="R105" s="4"/>
      <c r="S105" s="4"/>
      <c r="T105" s="4"/>
      <c r="U105" s="4"/>
      <c r="V105" s="4"/>
    </row>
    <row r="106" spans="1:22" ht="12.75" x14ac:dyDescent="0.2">
      <c r="A106" s="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80">
        <f t="shared" si="26"/>
        <v>400000</v>
      </c>
      <c r="N106" s="86">
        <f t="shared" si="27"/>
        <v>6700</v>
      </c>
      <c r="O106" s="4"/>
      <c r="R106" s="4"/>
      <c r="S106" s="4"/>
      <c r="T106" s="4"/>
      <c r="U106" s="4"/>
      <c r="V106" s="4"/>
    </row>
    <row r="107" spans="1:22" ht="12.75" x14ac:dyDescent="0.2">
      <c r="A107" s="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2.75" x14ac:dyDescent="0.2">
      <c r="A108" s="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2.75" x14ac:dyDescent="0.2">
      <c r="A109" s="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107" t="s">
        <v>76</v>
      </c>
      <c r="N109" s="108"/>
      <c r="O109" s="4"/>
      <c r="P109" s="4"/>
      <c r="Q109" s="4"/>
      <c r="R109" s="4"/>
      <c r="S109" s="4"/>
      <c r="T109" s="4"/>
      <c r="U109" s="4"/>
      <c r="V109" s="4"/>
    </row>
    <row r="110" spans="1:22" ht="12.75" x14ac:dyDescent="0.2">
      <c r="A110" s="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78" t="s">
        <v>73</v>
      </c>
      <c r="N110" s="79" t="s">
        <v>74</v>
      </c>
      <c r="O110" s="4"/>
      <c r="P110" s="4"/>
      <c r="Q110" s="4"/>
      <c r="R110" s="4"/>
      <c r="S110" s="4"/>
      <c r="T110" s="4"/>
      <c r="U110" s="4"/>
      <c r="V110" s="4"/>
    </row>
    <row r="111" spans="1:22" ht="12.75" hidden="1" x14ac:dyDescent="0.2">
      <c r="A111" s="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90">
        <v>200000</v>
      </c>
      <c r="N111" s="83">
        <v>3500</v>
      </c>
      <c r="O111" s="4"/>
      <c r="P111" s="4"/>
      <c r="Q111" s="4"/>
      <c r="R111" s="4"/>
      <c r="S111" s="4"/>
      <c r="T111" s="4"/>
      <c r="U111" s="4"/>
      <c r="V111" s="4"/>
    </row>
    <row r="112" spans="1:22" ht="12.75" hidden="1" x14ac:dyDescent="0.2">
      <c r="A112" s="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84">
        <f t="shared" ref="M112:M151" si="28">M111+5000</f>
        <v>205000</v>
      </c>
      <c r="N112" s="86">
        <f t="shared" ref="N112:N120" si="29">N111+37.5</f>
        <v>3537.5</v>
      </c>
      <c r="O112" s="4"/>
      <c r="P112" s="4"/>
      <c r="Q112" s="4"/>
      <c r="R112" s="4"/>
      <c r="S112" s="4"/>
      <c r="T112" s="4"/>
      <c r="U112" s="4"/>
      <c r="V112" s="4"/>
    </row>
    <row r="113" spans="1:22" ht="12.75" hidden="1" x14ac:dyDescent="0.2">
      <c r="A113" s="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80">
        <f t="shared" si="28"/>
        <v>210000</v>
      </c>
      <c r="N113" s="86">
        <f t="shared" si="29"/>
        <v>3575</v>
      </c>
      <c r="O113" s="4"/>
      <c r="P113" s="4"/>
      <c r="Q113" s="4"/>
      <c r="R113" s="4"/>
      <c r="S113" s="4"/>
      <c r="T113" s="4"/>
      <c r="U113" s="4"/>
      <c r="V113" s="4"/>
    </row>
    <row r="114" spans="1:22" ht="12.75" hidden="1" x14ac:dyDescent="0.2">
      <c r="A114" s="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84">
        <f t="shared" si="28"/>
        <v>215000</v>
      </c>
      <c r="N114" s="86">
        <f t="shared" si="29"/>
        <v>3612.5</v>
      </c>
      <c r="O114" s="4"/>
      <c r="P114" s="4"/>
      <c r="Q114" s="4"/>
      <c r="R114" s="4"/>
      <c r="S114" s="4"/>
      <c r="T114" s="4"/>
      <c r="U114" s="4"/>
      <c r="V114" s="4"/>
    </row>
    <row r="115" spans="1:22" ht="12.75" hidden="1" x14ac:dyDescent="0.2">
      <c r="A115" s="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80">
        <f t="shared" si="28"/>
        <v>220000</v>
      </c>
      <c r="N115" s="86">
        <f t="shared" si="29"/>
        <v>3650</v>
      </c>
      <c r="O115" s="4"/>
      <c r="P115" s="4"/>
      <c r="Q115" s="4"/>
      <c r="R115" s="4"/>
      <c r="S115" s="4"/>
      <c r="T115" s="4"/>
      <c r="U115" s="4"/>
      <c r="V115" s="4"/>
    </row>
    <row r="116" spans="1:22" ht="12.75" hidden="1" x14ac:dyDescent="0.2">
      <c r="A116" s="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84">
        <f t="shared" si="28"/>
        <v>225000</v>
      </c>
      <c r="N116" s="86">
        <f t="shared" si="29"/>
        <v>3687.5</v>
      </c>
      <c r="O116" s="4"/>
      <c r="P116" s="4"/>
      <c r="Q116" s="4"/>
      <c r="R116" s="4"/>
      <c r="S116" s="4"/>
      <c r="T116" s="4"/>
      <c r="U116" s="4"/>
      <c r="V116" s="4"/>
    </row>
    <row r="117" spans="1:22" ht="12.75" hidden="1" x14ac:dyDescent="0.2">
      <c r="A117" s="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80">
        <f t="shared" si="28"/>
        <v>230000</v>
      </c>
      <c r="N117" s="86">
        <f t="shared" si="29"/>
        <v>3725</v>
      </c>
      <c r="O117" s="4"/>
      <c r="P117" s="4"/>
      <c r="Q117" s="4"/>
      <c r="R117" s="4"/>
      <c r="S117" s="4"/>
      <c r="T117" s="4"/>
      <c r="U117" s="4"/>
      <c r="V117" s="4"/>
    </row>
    <row r="118" spans="1:22" ht="12.75" hidden="1" x14ac:dyDescent="0.2">
      <c r="A118" s="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84">
        <f t="shared" si="28"/>
        <v>235000</v>
      </c>
      <c r="N118" s="86">
        <f t="shared" si="29"/>
        <v>3762.5</v>
      </c>
      <c r="O118" s="4"/>
      <c r="P118" s="4"/>
      <c r="Q118" s="4"/>
      <c r="R118" s="4"/>
      <c r="S118" s="4"/>
      <c r="T118" s="4"/>
      <c r="U118" s="4"/>
      <c r="V118" s="4"/>
    </row>
    <row r="119" spans="1:22" ht="12.75" hidden="1" x14ac:dyDescent="0.2">
      <c r="A119" s="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80">
        <f t="shared" si="28"/>
        <v>240000</v>
      </c>
      <c r="N119" s="86">
        <f t="shared" si="29"/>
        <v>3800</v>
      </c>
      <c r="O119" s="4"/>
      <c r="P119" s="4"/>
      <c r="Q119" s="4"/>
      <c r="R119" s="4"/>
      <c r="S119" s="4"/>
      <c r="T119" s="4"/>
      <c r="U119" s="4"/>
      <c r="V119" s="4"/>
    </row>
    <row r="120" spans="1:22" ht="12.75" hidden="1" x14ac:dyDescent="0.2">
      <c r="A120" s="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84">
        <f t="shared" si="28"/>
        <v>245000</v>
      </c>
      <c r="N120" s="86">
        <f t="shared" si="29"/>
        <v>3837.5</v>
      </c>
      <c r="O120" s="4"/>
      <c r="P120" s="4"/>
      <c r="Q120" s="4"/>
      <c r="R120" s="4"/>
      <c r="S120" s="4"/>
      <c r="T120" s="4"/>
      <c r="U120" s="4"/>
      <c r="V120" s="4"/>
    </row>
    <row r="121" spans="1:22" ht="12.75" x14ac:dyDescent="0.2">
      <c r="A121" s="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80">
        <f t="shared" si="28"/>
        <v>250000</v>
      </c>
      <c r="N121" s="86">
        <f>2750+50</f>
        <v>2800</v>
      </c>
      <c r="O121" s="4"/>
      <c r="P121" s="4"/>
      <c r="Q121" s="4"/>
      <c r="R121" s="4"/>
      <c r="S121" s="4"/>
      <c r="T121" s="4"/>
      <c r="U121" s="4"/>
      <c r="V121" s="4"/>
    </row>
    <row r="122" spans="1:22" ht="12.75" x14ac:dyDescent="0.2">
      <c r="A122" s="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84">
        <f t="shared" si="28"/>
        <v>255000</v>
      </c>
      <c r="N122" s="86">
        <f t="shared" ref="N122:N130" si="30">N121+50</f>
        <v>2850</v>
      </c>
      <c r="O122" s="4"/>
      <c r="P122" s="4"/>
      <c r="Q122" s="4"/>
      <c r="R122" s="4"/>
      <c r="S122" s="4"/>
      <c r="T122" s="4"/>
      <c r="U122" s="4"/>
      <c r="V122" s="4"/>
    </row>
    <row r="123" spans="1:22" ht="12.75" x14ac:dyDescent="0.2">
      <c r="A123" s="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80">
        <f t="shared" si="28"/>
        <v>260000</v>
      </c>
      <c r="N123" s="86">
        <f t="shared" si="30"/>
        <v>2900</v>
      </c>
      <c r="O123" s="4"/>
      <c r="P123" s="4"/>
      <c r="Q123" s="4"/>
      <c r="R123" s="4"/>
      <c r="S123" s="4"/>
      <c r="T123" s="4"/>
      <c r="U123" s="4"/>
      <c r="V123" s="4"/>
    </row>
    <row r="124" spans="1:22" ht="12.75" x14ac:dyDescent="0.2">
      <c r="A124" s="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84">
        <f t="shared" si="28"/>
        <v>265000</v>
      </c>
      <c r="N124" s="86">
        <f t="shared" si="30"/>
        <v>2950</v>
      </c>
      <c r="O124" s="4"/>
      <c r="P124" s="4"/>
      <c r="Q124" s="4"/>
      <c r="R124" s="4"/>
      <c r="S124" s="4"/>
      <c r="T124" s="4"/>
      <c r="U124" s="4"/>
      <c r="V124" s="4"/>
    </row>
    <row r="125" spans="1:22" ht="12.75" x14ac:dyDescent="0.2">
      <c r="A125" s="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80">
        <f t="shared" si="28"/>
        <v>270000</v>
      </c>
      <c r="N125" s="86">
        <f t="shared" si="30"/>
        <v>3000</v>
      </c>
      <c r="O125" s="4"/>
      <c r="P125" s="4"/>
      <c r="Q125" s="4"/>
      <c r="R125" s="4"/>
      <c r="S125" s="4"/>
      <c r="T125" s="4"/>
      <c r="U125" s="4"/>
      <c r="V125" s="4"/>
    </row>
    <row r="126" spans="1:22" ht="12.75" x14ac:dyDescent="0.2">
      <c r="A126" s="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84">
        <f t="shared" si="28"/>
        <v>275000</v>
      </c>
      <c r="N126" s="86">
        <f t="shared" si="30"/>
        <v>3050</v>
      </c>
      <c r="O126" s="4"/>
      <c r="P126" s="4"/>
      <c r="Q126" s="4"/>
      <c r="R126" s="4"/>
      <c r="S126" s="4"/>
      <c r="T126" s="4"/>
      <c r="U126" s="4"/>
      <c r="V126" s="4"/>
    </row>
    <row r="127" spans="1:22" ht="12.75" x14ac:dyDescent="0.2">
      <c r="A127" s="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80">
        <f t="shared" si="28"/>
        <v>280000</v>
      </c>
      <c r="N127" s="86">
        <f t="shared" si="30"/>
        <v>3100</v>
      </c>
      <c r="O127" s="4"/>
      <c r="P127" s="4"/>
      <c r="Q127" s="4"/>
      <c r="R127" s="4"/>
      <c r="S127" s="4"/>
      <c r="T127" s="4"/>
      <c r="U127" s="4"/>
      <c r="V127" s="4"/>
    </row>
    <row r="128" spans="1:22" ht="12.75" x14ac:dyDescent="0.2">
      <c r="A128" s="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84">
        <f t="shared" si="28"/>
        <v>285000</v>
      </c>
      <c r="N128" s="86">
        <f t="shared" si="30"/>
        <v>3150</v>
      </c>
      <c r="O128" s="4"/>
      <c r="P128" s="4"/>
      <c r="Q128" s="4"/>
      <c r="R128" s="4"/>
      <c r="S128" s="4"/>
      <c r="T128" s="4"/>
      <c r="U128" s="4"/>
      <c r="V128" s="4"/>
    </row>
    <row r="129" spans="1:22" ht="12.75" x14ac:dyDescent="0.2">
      <c r="A129" s="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80">
        <f t="shared" si="28"/>
        <v>290000</v>
      </c>
      <c r="N129" s="86">
        <f t="shared" si="30"/>
        <v>3200</v>
      </c>
      <c r="O129" s="4"/>
      <c r="P129" s="4"/>
      <c r="Q129" s="4"/>
      <c r="R129" s="4"/>
      <c r="S129" s="4"/>
      <c r="T129" s="4"/>
      <c r="U129" s="4"/>
      <c r="V129" s="4"/>
    </row>
    <row r="130" spans="1:22" ht="12.75" x14ac:dyDescent="0.2">
      <c r="A130" s="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84">
        <f t="shared" si="28"/>
        <v>295000</v>
      </c>
      <c r="N130" s="86">
        <f t="shared" si="30"/>
        <v>3250</v>
      </c>
      <c r="O130" s="4"/>
      <c r="P130" s="4"/>
      <c r="Q130" s="4"/>
      <c r="R130" s="4"/>
      <c r="S130" s="4"/>
      <c r="T130" s="4"/>
      <c r="U130" s="4"/>
      <c r="V130" s="4"/>
    </row>
    <row r="131" spans="1:22" ht="12.75" x14ac:dyDescent="0.2">
      <c r="A131" s="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80">
        <f t="shared" si="28"/>
        <v>300000</v>
      </c>
      <c r="N131" s="86">
        <f t="shared" ref="N131:N151" si="31">N130+65</f>
        <v>3315</v>
      </c>
      <c r="O131" s="4"/>
      <c r="P131" s="4"/>
      <c r="Q131" s="4"/>
      <c r="R131" s="4"/>
      <c r="S131" s="4"/>
      <c r="T131" s="4"/>
      <c r="U131" s="4"/>
      <c r="V131" s="4"/>
    </row>
    <row r="132" spans="1:22" ht="12.75" x14ac:dyDescent="0.2">
      <c r="A132" s="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84">
        <f t="shared" si="28"/>
        <v>305000</v>
      </c>
      <c r="N132" s="86">
        <f t="shared" si="31"/>
        <v>3380</v>
      </c>
      <c r="O132" s="4"/>
      <c r="P132" s="4"/>
      <c r="Q132" s="4"/>
      <c r="R132" s="4"/>
      <c r="S132" s="4"/>
      <c r="T132" s="4"/>
      <c r="U132" s="4"/>
      <c r="V132" s="4"/>
    </row>
    <row r="133" spans="1:22" ht="12.75" x14ac:dyDescent="0.2">
      <c r="A133" s="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80">
        <f t="shared" si="28"/>
        <v>310000</v>
      </c>
      <c r="N133" s="86">
        <f t="shared" si="31"/>
        <v>3445</v>
      </c>
      <c r="O133" s="4"/>
      <c r="P133" s="4"/>
      <c r="Q133" s="4"/>
      <c r="R133" s="4"/>
      <c r="S133" s="4"/>
      <c r="T133" s="4"/>
      <c r="U133" s="4"/>
      <c r="V133" s="4"/>
    </row>
    <row r="134" spans="1:22" ht="12.75" x14ac:dyDescent="0.2">
      <c r="A134" s="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84">
        <f t="shared" si="28"/>
        <v>315000</v>
      </c>
      <c r="N134" s="86">
        <f t="shared" si="31"/>
        <v>3510</v>
      </c>
      <c r="O134" s="4"/>
      <c r="P134" s="4"/>
      <c r="Q134" s="4"/>
      <c r="R134" s="4"/>
      <c r="S134" s="4"/>
      <c r="T134" s="4"/>
      <c r="U134" s="4"/>
      <c r="V134" s="4"/>
    </row>
    <row r="135" spans="1:22" ht="12.75" x14ac:dyDescent="0.2">
      <c r="A135" s="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80">
        <f t="shared" si="28"/>
        <v>320000</v>
      </c>
      <c r="N135" s="86">
        <f t="shared" si="31"/>
        <v>3575</v>
      </c>
      <c r="O135" s="4"/>
      <c r="P135" s="4"/>
      <c r="Q135" s="4"/>
      <c r="R135" s="4"/>
      <c r="S135" s="4"/>
      <c r="T135" s="4"/>
      <c r="U135" s="4"/>
      <c r="V135" s="4"/>
    </row>
    <row r="136" spans="1:22" ht="12.75" x14ac:dyDescent="0.2">
      <c r="A136" s="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84">
        <f t="shared" si="28"/>
        <v>325000</v>
      </c>
      <c r="N136" s="86">
        <f t="shared" si="31"/>
        <v>3640</v>
      </c>
      <c r="O136" s="4"/>
      <c r="P136" s="4"/>
      <c r="Q136" s="4"/>
      <c r="R136" s="4"/>
      <c r="S136" s="4"/>
      <c r="T136" s="4"/>
      <c r="U136" s="4"/>
      <c r="V136" s="4"/>
    </row>
    <row r="137" spans="1:22" ht="12.75" x14ac:dyDescent="0.2">
      <c r="A137" s="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80">
        <f t="shared" si="28"/>
        <v>330000</v>
      </c>
      <c r="N137" s="86">
        <f t="shared" si="31"/>
        <v>3705</v>
      </c>
      <c r="O137" s="4"/>
      <c r="P137" s="4"/>
      <c r="Q137" s="4"/>
      <c r="R137" s="4"/>
      <c r="S137" s="4"/>
      <c r="T137" s="4"/>
      <c r="U137" s="4"/>
      <c r="V137" s="4"/>
    </row>
    <row r="138" spans="1:22" ht="12.75" x14ac:dyDescent="0.2">
      <c r="A138" s="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84">
        <f t="shared" si="28"/>
        <v>335000</v>
      </c>
      <c r="N138" s="86">
        <f t="shared" si="31"/>
        <v>3770</v>
      </c>
      <c r="O138" s="4"/>
      <c r="P138" s="4"/>
      <c r="Q138" s="4"/>
      <c r="R138" s="4"/>
      <c r="S138" s="4"/>
      <c r="T138" s="4"/>
      <c r="U138" s="4"/>
      <c r="V138" s="4"/>
    </row>
    <row r="139" spans="1:22" ht="12.75" x14ac:dyDescent="0.2">
      <c r="A139" s="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80">
        <f t="shared" si="28"/>
        <v>340000</v>
      </c>
      <c r="N139" s="86">
        <f t="shared" si="31"/>
        <v>3835</v>
      </c>
      <c r="O139" s="4"/>
      <c r="P139" s="4"/>
      <c r="Q139" s="4"/>
      <c r="R139" s="4"/>
      <c r="S139" s="4"/>
      <c r="T139" s="4"/>
      <c r="U139" s="4"/>
      <c r="V139" s="4"/>
    </row>
    <row r="140" spans="1:22" ht="12.75" x14ac:dyDescent="0.2">
      <c r="A140" s="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84">
        <f t="shared" si="28"/>
        <v>345000</v>
      </c>
      <c r="N140" s="86">
        <f t="shared" si="31"/>
        <v>3900</v>
      </c>
      <c r="O140" s="4"/>
      <c r="P140" s="4"/>
      <c r="Q140" s="4"/>
      <c r="R140" s="4"/>
      <c r="S140" s="4"/>
      <c r="T140" s="4"/>
      <c r="U140" s="4"/>
      <c r="V140" s="4"/>
    </row>
    <row r="141" spans="1:22" ht="12.75" x14ac:dyDescent="0.2">
      <c r="A141" s="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80">
        <f t="shared" si="28"/>
        <v>350000</v>
      </c>
      <c r="N141" s="86">
        <f t="shared" si="31"/>
        <v>3965</v>
      </c>
      <c r="O141" s="4"/>
      <c r="P141" s="4"/>
      <c r="Q141" s="4"/>
      <c r="R141" s="4"/>
      <c r="S141" s="4"/>
      <c r="T141" s="4"/>
      <c r="U141" s="4"/>
      <c r="V141" s="4"/>
    </row>
    <row r="142" spans="1:22" ht="12.75" x14ac:dyDescent="0.2">
      <c r="A142" s="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84">
        <f t="shared" si="28"/>
        <v>355000</v>
      </c>
      <c r="N142" s="86">
        <f t="shared" si="31"/>
        <v>4030</v>
      </c>
      <c r="O142" s="4"/>
      <c r="P142" s="4"/>
      <c r="Q142" s="4"/>
      <c r="R142" s="4"/>
      <c r="S142" s="4"/>
      <c r="T142" s="4"/>
      <c r="U142" s="4"/>
      <c r="V142" s="4"/>
    </row>
    <row r="143" spans="1:22" ht="12.75" x14ac:dyDescent="0.2">
      <c r="A143" s="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80">
        <f t="shared" si="28"/>
        <v>360000</v>
      </c>
      <c r="N143" s="86">
        <f t="shared" si="31"/>
        <v>4095</v>
      </c>
      <c r="O143" s="4"/>
      <c r="P143" s="4"/>
      <c r="Q143" s="4"/>
      <c r="R143" s="4"/>
      <c r="S143" s="4"/>
      <c r="T143" s="4"/>
      <c r="U143" s="4"/>
      <c r="V143" s="4"/>
    </row>
    <row r="144" spans="1:22" ht="12.75" x14ac:dyDescent="0.2">
      <c r="A144" s="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84">
        <f t="shared" si="28"/>
        <v>365000</v>
      </c>
      <c r="N144" s="86">
        <f t="shared" si="31"/>
        <v>4160</v>
      </c>
      <c r="O144" s="4"/>
      <c r="P144" s="4"/>
      <c r="Q144" s="4"/>
      <c r="R144" s="4"/>
      <c r="S144" s="4"/>
      <c r="T144" s="4"/>
      <c r="U144" s="4"/>
      <c r="V144" s="4"/>
    </row>
    <row r="145" spans="1:22" ht="12.75" x14ac:dyDescent="0.2">
      <c r="A145" s="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80">
        <f t="shared" si="28"/>
        <v>370000</v>
      </c>
      <c r="N145" s="86">
        <f t="shared" si="31"/>
        <v>4225</v>
      </c>
      <c r="O145" s="4"/>
      <c r="P145" s="4"/>
      <c r="Q145" s="4"/>
      <c r="R145" s="4"/>
      <c r="S145" s="4"/>
      <c r="T145" s="4"/>
      <c r="U145" s="4"/>
      <c r="V145" s="4"/>
    </row>
    <row r="146" spans="1:22" ht="12.75" x14ac:dyDescent="0.2">
      <c r="A146" s="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84">
        <f t="shared" si="28"/>
        <v>375000</v>
      </c>
      <c r="N146" s="86">
        <f t="shared" si="31"/>
        <v>4290</v>
      </c>
      <c r="O146" s="4"/>
      <c r="P146" s="4"/>
      <c r="Q146" s="4"/>
      <c r="R146" s="4"/>
      <c r="S146" s="4"/>
      <c r="T146" s="4"/>
      <c r="U146" s="4"/>
      <c r="V146" s="4"/>
    </row>
    <row r="147" spans="1:22" ht="12.75" x14ac:dyDescent="0.2">
      <c r="A147" s="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80">
        <f t="shared" si="28"/>
        <v>380000</v>
      </c>
      <c r="N147" s="86">
        <f t="shared" si="31"/>
        <v>4355</v>
      </c>
      <c r="O147" s="4"/>
      <c r="P147" s="4"/>
      <c r="Q147" s="4"/>
      <c r="R147" s="4"/>
      <c r="S147" s="4"/>
      <c r="T147" s="4"/>
      <c r="U147" s="4"/>
      <c r="V147" s="4"/>
    </row>
    <row r="148" spans="1:22" ht="12.75" x14ac:dyDescent="0.2">
      <c r="A148" s="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84">
        <f t="shared" si="28"/>
        <v>385000</v>
      </c>
      <c r="N148" s="86">
        <f t="shared" si="31"/>
        <v>4420</v>
      </c>
      <c r="O148" s="4"/>
      <c r="P148" s="4"/>
      <c r="Q148" s="4"/>
      <c r="R148" s="4"/>
      <c r="S148" s="4"/>
      <c r="T148" s="4"/>
      <c r="U148" s="4"/>
      <c r="V148" s="4"/>
    </row>
    <row r="149" spans="1:22" ht="12.75" x14ac:dyDescent="0.2">
      <c r="A149" s="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80">
        <f t="shared" si="28"/>
        <v>390000</v>
      </c>
      <c r="N149" s="86">
        <f t="shared" si="31"/>
        <v>4485</v>
      </c>
      <c r="O149" s="4"/>
      <c r="P149" s="4"/>
      <c r="Q149" s="4"/>
      <c r="R149" s="4"/>
      <c r="S149" s="4"/>
      <c r="T149" s="4"/>
      <c r="U149" s="4"/>
      <c r="V149" s="4"/>
    </row>
    <row r="150" spans="1:22" ht="12.75" x14ac:dyDescent="0.2">
      <c r="A150" s="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84">
        <f t="shared" si="28"/>
        <v>395000</v>
      </c>
      <c r="N150" s="86">
        <f t="shared" si="31"/>
        <v>4550</v>
      </c>
      <c r="O150" s="4"/>
      <c r="P150" s="4"/>
      <c r="Q150" s="4"/>
      <c r="R150" s="4"/>
      <c r="S150" s="4"/>
      <c r="T150" s="4"/>
      <c r="U150" s="4"/>
      <c r="V150" s="4"/>
    </row>
    <row r="151" spans="1:22" ht="12.75" x14ac:dyDescent="0.2">
      <c r="A151" s="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80">
        <f t="shared" si="28"/>
        <v>400000</v>
      </c>
      <c r="N151" s="86">
        <f t="shared" si="31"/>
        <v>4615</v>
      </c>
      <c r="O151" s="4"/>
      <c r="P151" s="4"/>
      <c r="Q151" s="4"/>
      <c r="R151" s="4"/>
      <c r="S151" s="4"/>
      <c r="T151" s="4"/>
      <c r="U151" s="4"/>
      <c r="V151" s="4"/>
    </row>
    <row r="152" spans="1:22" ht="12.75" x14ac:dyDescent="0.2">
      <c r="A152" s="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2.75" x14ac:dyDescent="0.2">
      <c r="A153" s="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2.75" x14ac:dyDescent="0.2">
      <c r="A154" s="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2.75" x14ac:dyDescent="0.2">
      <c r="A155" s="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2.75" x14ac:dyDescent="0.2">
      <c r="A156" s="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2.75" x14ac:dyDescent="0.2">
      <c r="A157" s="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2.75" x14ac:dyDescent="0.2">
      <c r="A158" s="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2.75" x14ac:dyDescent="0.2">
      <c r="A159" s="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2.75" x14ac:dyDescent="0.2">
      <c r="A160" s="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2.75" x14ac:dyDescent="0.2">
      <c r="A161" s="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2.75" x14ac:dyDescent="0.2">
      <c r="A162" s="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2.75" x14ac:dyDescent="0.2">
      <c r="A163" s="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2.75" x14ac:dyDescent="0.2">
      <c r="A164" s="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2.75" x14ac:dyDescent="0.2">
      <c r="A165" s="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2.75" x14ac:dyDescent="0.2">
      <c r="A166" s="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2.75" x14ac:dyDescent="0.2">
      <c r="A167" s="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2.75" x14ac:dyDescent="0.2">
      <c r="A168" s="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2.75" x14ac:dyDescent="0.2">
      <c r="A169" s="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2.75" x14ac:dyDescent="0.2">
      <c r="A170" s="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2.75" x14ac:dyDescent="0.2">
      <c r="A171" s="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2.75" x14ac:dyDescent="0.2">
      <c r="A172" s="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2.75" x14ac:dyDescent="0.2">
      <c r="A173" s="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2.75" x14ac:dyDescent="0.2">
      <c r="A174" s="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2.75" x14ac:dyDescent="0.2">
      <c r="A175" s="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2.75" x14ac:dyDescent="0.2">
      <c r="A176" s="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2.75" x14ac:dyDescent="0.2">
      <c r="A177" s="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2.75" x14ac:dyDescent="0.2">
      <c r="A178" s="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2.75" x14ac:dyDescent="0.2">
      <c r="A179" s="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2.75" x14ac:dyDescent="0.2">
      <c r="A180" s="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2.75" x14ac:dyDescent="0.2">
      <c r="A181" s="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2.75" x14ac:dyDescent="0.2">
      <c r="A182" s="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2.75" x14ac:dyDescent="0.2">
      <c r="A183" s="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2.75" x14ac:dyDescent="0.2">
      <c r="A184" s="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2.75" x14ac:dyDescent="0.2">
      <c r="A185" s="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2.75" x14ac:dyDescent="0.2">
      <c r="A186" s="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2.75" x14ac:dyDescent="0.2">
      <c r="A187" s="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2.75" x14ac:dyDescent="0.2">
      <c r="A188" s="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2.75" x14ac:dyDescent="0.2">
      <c r="A189" s="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2.75" x14ac:dyDescent="0.2">
      <c r="A190" s="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2.75" x14ac:dyDescent="0.2">
      <c r="A191" s="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2.75" x14ac:dyDescent="0.2">
      <c r="A192" s="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2.75" x14ac:dyDescent="0.2">
      <c r="A193" s="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2.75" x14ac:dyDescent="0.2">
      <c r="A194" s="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2.75" x14ac:dyDescent="0.2">
      <c r="A195" s="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2.75" x14ac:dyDescent="0.2">
      <c r="A196" s="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2.75" x14ac:dyDescent="0.2">
      <c r="A197" s="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2.75" x14ac:dyDescent="0.2">
      <c r="A198" s="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2.75" x14ac:dyDescent="0.2">
      <c r="A199" s="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2.75" x14ac:dyDescent="0.2">
      <c r="A200" s="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2.75" x14ac:dyDescent="0.2">
      <c r="A201" s="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12.75" x14ac:dyDescent="0.2">
      <c r="A202" s="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2.75" x14ac:dyDescent="0.2">
      <c r="A203" s="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2.75" x14ac:dyDescent="0.2">
      <c r="A204" s="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2.75" x14ac:dyDescent="0.2">
      <c r="A205" s="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2.75" x14ac:dyDescent="0.2">
      <c r="A206" s="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2.75" x14ac:dyDescent="0.2">
      <c r="A207" s="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2.75" x14ac:dyDescent="0.2">
      <c r="A208" s="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2.75" x14ac:dyDescent="0.2">
      <c r="A209" s="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2.75" x14ac:dyDescent="0.2">
      <c r="A210" s="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2.75" x14ac:dyDescent="0.2">
      <c r="A211" s="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2.75" x14ac:dyDescent="0.2">
      <c r="A212" s="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2.75" x14ac:dyDescent="0.2">
      <c r="A213" s="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2.75" x14ac:dyDescent="0.2">
      <c r="A214" s="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2.75" x14ac:dyDescent="0.2">
      <c r="A215" s="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2.75" x14ac:dyDescent="0.2">
      <c r="A216" s="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2.75" x14ac:dyDescent="0.2">
      <c r="A217" s="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2.75" x14ac:dyDescent="0.2">
      <c r="A218" s="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2.75" x14ac:dyDescent="0.2">
      <c r="A219" s="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2.75" x14ac:dyDescent="0.2">
      <c r="A220" s="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2.75" x14ac:dyDescent="0.2">
      <c r="A221" s="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12.75" x14ac:dyDescent="0.2">
      <c r="A222" s="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12.75" x14ac:dyDescent="0.2">
      <c r="A223" s="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12.75" x14ac:dyDescent="0.2">
      <c r="A224" s="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12.75" x14ac:dyDescent="0.2">
      <c r="A225" s="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12.75" x14ac:dyDescent="0.2">
      <c r="A226" s="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12.75" x14ac:dyDescent="0.2">
      <c r="A227" s="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12.75" x14ac:dyDescent="0.2">
      <c r="A228" s="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12.75" x14ac:dyDescent="0.2">
      <c r="A229" s="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12.75" x14ac:dyDescent="0.2">
      <c r="A230" s="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12.75" x14ac:dyDescent="0.2">
      <c r="A231" s="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12.75" x14ac:dyDescent="0.2">
      <c r="A232" s="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12.75" x14ac:dyDescent="0.2">
      <c r="A233" s="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12.75" x14ac:dyDescent="0.2">
      <c r="A234" s="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12.75" x14ac:dyDescent="0.2">
      <c r="A235" s="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12.75" x14ac:dyDescent="0.2">
      <c r="A236" s="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12.75" x14ac:dyDescent="0.2">
      <c r="A237" s="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12.75" x14ac:dyDescent="0.2">
      <c r="A238" s="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12.75" x14ac:dyDescent="0.2">
      <c r="A239" s="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2.75" x14ac:dyDescent="0.2">
      <c r="A240" s="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ht="12.75" x14ac:dyDescent="0.2">
      <c r="A241" s="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ht="12.75" x14ac:dyDescent="0.2">
      <c r="A242" s="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ht="12.75" x14ac:dyDescent="0.2">
      <c r="A243" s="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12.75" x14ac:dyDescent="0.2">
      <c r="A244" s="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ht="12.75" x14ac:dyDescent="0.2">
      <c r="A245" s="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t="12.75" x14ac:dyDescent="0.2">
      <c r="A246" s="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t="12.75" x14ac:dyDescent="0.2">
      <c r="A247" s="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t="12.75" x14ac:dyDescent="0.2">
      <c r="A248" s="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ht="12.75" x14ac:dyDescent="0.2">
      <c r="A249" s="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t="12.75" x14ac:dyDescent="0.2">
      <c r="A250" s="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t="12.75" x14ac:dyDescent="0.2">
      <c r="A251" s="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ht="12.75" x14ac:dyDescent="0.2">
      <c r="A252" s="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12.75" x14ac:dyDescent="0.2">
      <c r="A253" s="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12.75" x14ac:dyDescent="0.2">
      <c r="A254" s="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12.75" x14ac:dyDescent="0.2">
      <c r="A255" s="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12.75" x14ac:dyDescent="0.2">
      <c r="A256" s="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12.75" x14ac:dyDescent="0.2">
      <c r="A257" s="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12.75" x14ac:dyDescent="0.2">
      <c r="A258" s="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12.75" x14ac:dyDescent="0.2">
      <c r="A259" s="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12.75" x14ac:dyDescent="0.2">
      <c r="A260" s="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12.75" x14ac:dyDescent="0.2">
      <c r="A261" s="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12.75" x14ac:dyDescent="0.2">
      <c r="A262" s="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12.75" x14ac:dyDescent="0.2">
      <c r="A263" s="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12.75" x14ac:dyDescent="0.2">
      <c r="A264" s="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12.75" x14ac:dyDescent="0.2">
      <c r="A265" s="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12.75" x14ac:dyDescent="0.2">
      <c r="A266" s="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12.75" x14ac:dyDescent="0.2">
      <c r="A267" s="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12.75" x14ac:dyDescent="0.2">
      <c r="A268" s="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12.75" x14ac:dyDescent="0.2">
      <c r="A269" s="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12.75" x14ac:dyDescent="0.2">
      <c r="A270" s="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12.75" x14ac:dyDescent="0.2">
      <c r="A271" s="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12.75" x14ac:dyDescent="0.2">
      <c r="A272" s="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t="12.75" x14ac:dyDescent="0.2">
      <c r="A273" s="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ht="12.75" x14ac:dyDescent="0.2">
      <c r="A274" s="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ht="12.75" x14ac:dyDescent="0.2">
      <c r="A275" s="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ht="12.75" x14ac:dyDescent="0.2">
      <c r="A276" s="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ht="12.75" x14ac:dyDescent="0.2">
      <c r="A277" s="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t="12.75" x14ac:dyDescent="0.2">
      <c r="A278" s="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ht="12.75" x14ac:dyDescent="0.2">
      <c r="A279" s="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ht="12.75" x14ac:dyDescent="0.2">
      <c r="A280" s="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ht="12.75" x14ac:dyDescent="0.2">
      <c r="A281" s="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ht="12.75" x14ac:dyDescent="0.2">
      <c r="A282" s="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ht="12.75" x14ac:dyDescent="0.2">
      <c r="A283" s="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ht="12.75" x14ac:dyDescent="0.2">
      <c r="A284" s="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ht="12.75" x14ac:dyDescent="0.2">
      <c r="A285" s="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ht="12.75" x14ac:dyDescent="0.2">
      <c r="A286" s="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t="12.75" x14ac:dyDescent="0.2">
      <c r="A287" s="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12.75" x14ac:dyDescent="0.2">
      <c r="A288" s="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ht="12.75" x14ac:dyDescent="0.2">
      <c r="A289" s="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t="12.75" x14ac:dyDescent="0.2">
      <c r="A290" s="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12.75" x14ac:dyDescent="0.2">
      <c r="A291" s="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ht="12.75" x14ac:dyDescent="0.2">
      <c r="A292" s="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ht="12.75" x14ac:dyDescent="0.2">
      <c r="A293" s="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ht="12.75" x14ac:dyDescent="0.2">
      <c r="A294" s="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ht="12.75" x14ac:dyDescent="0.2">
      <c r="A295" s="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ht="12.75" x14ac:dyDescent="0.2">
      <c r="A296" s="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t="12.75" x14ac:dyDescent="0.2">
      <c r="A297" s="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ht="12.75" x14ac:dyDescent="0.2">
      <c r="A298" s="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t="12.75" x14ac:dyDescent="0.2">
      <c r="A299" s="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ht="12.75" x14ac:dyDescent="0.2">
      <c r="A300" s="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t="12.75" x14ac:dyDescent="0.2">
      <c r="A301" s="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ht="12.75" x14ac:dyDescent="0.2">
      <c r="A302" s="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ht="12.75" x14ac:dyDescent="0.2">
      <c r="A303" s="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12.75" x14ac:dyDescent="0.2">
      <c r="A304" s="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t="12.75" x14ac:dyDescent="0.2">
      <c r="A305" s="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ht="12.75" x14ac:dyDescent="0.2">
      <c r="A306" s="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ht="12.75" x14ac:dyDescent="0.2">
      <c r="A307" s="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ht="12.75" x14ac:dyDescent="0.2">
      <c r="A308" s="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t="12.75" x14ac:dyDescent="0.2">
      <c r="A309" s="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ht="12.75" x14ac:dyDescent="0.2">
      <c r="A310" s="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ht="12.75" x14ac:dyDescent="0.2">
      <c r="A311" s="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ht="12.75" x14ac:dyDescent="0.2">
      <c r="A312" s="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ht="12.75" x14ac:dyDescent="0.2">
      <c r="A313" s="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ht="12.75" x14ac:dyDescent="0.2">
      <c r="A314" s="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ht="12.75" x14ac:dyDescent="0.2">
      <c r="A315" s="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ht="12.75" x14ac:dyDescent="0.2">
      <c r="A316" s="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ht="12.75" x14ac:dyDescent="0.2">
      <c r="A317" s="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ht="12.75" x14ac:dyDescent="0.2">
      <c r="A318" s="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t="12.75" x14ac:dyDescent="0.2">
      <c r="A319" s="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ht="12.75" x14ac:dyDescent="0.2">
      <c r="A320" s="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t="12.75" x14ac:dyDescent="0.2">
      <c r="A321" s="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t="12.75" x14ac:dyDescent="0.2">
      <c r="A322" s="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ht="12.75" x14ac:dyDescent="0.2">
      <c r="A323" s="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ht="12.75" x14ac:dyDescent="0.2">
      <c r="A324" s="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ht="12.75" x14ac:dyDescent="0.2">
      <c r="A325" s="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ht="12.75" x14ac:dyDescent="0.2">
      <c r="A326" s="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ht="12.75" x14ac:dyDescent="0.2">
      <c r="A327" s="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ht="12.75" x14ac:dyDescent="0.2">
      <c r="A328" s="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t="12.75" x14ac:dyDescent="0.2">
      <c r="A329" s="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t="12.75" x14ac:dyDescent="0.2">
      <c r="A330" s="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t="12.75" x14ac:dyDescent="0.2">
      <c r="A331" s="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12.75" x14ac:dyDescent="0.2">
      <c r="A332" s="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t="12.75" x14ac:dyDescent="0.2">
      <c r="A333" s="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ht="12.75" x14ac:dyDescent="0.2">
      <c r="A334" s="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ht="12.75" x14ac:dyDescent="0.2">
      <c r="A335" s="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ht="12.75" x14ac:dyDescent="0.2">
      <c r="A336" s="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t="12.75" x14ac:dyDescent="0.2">
      <c r="A337" s="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t="12.75" x14ac:dyDescent="0.2">
      <c r="A338" s="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ht="12.75" x14ac:dyDescent="0.2">
      <c r="A339" s="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ht="12.75" x14ac:dyDescent="0.2">
      <c r="A340" s="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ht="12.75" x14ac:dyDescent="0.2">
      <c r="A341" s="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ht="12.75" x14ac:dyDescent="0.2">
      <c r="A342" s="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ht="12.75" x14ac:dyDescent="0.2">
      <c r="A343" s="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t="12.75" x14ac:dyDescent="0.2">
      <c r="A344" s="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ht="12.75" x14ac:dyDescent="0.2">
      <c r="A345" s="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ht="12.75" x14ac:dyDescent="0.2">
      <c r="A346" s="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ht="12.75" x14ac:dyDescent="0.2">
      <c r="A347" s="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ht="12.75" x14ac:dyDescent="0.2">
      <c r="A348" s="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ht="12.75" x14ac:dyDescent="0.2">
      <c r="A349" s="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ht="12.75" x14ac:dyDescent="0.2">
      <c r="A350" s="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ht="12.75" x14ac:dyDescent="0.2">
      <c r="A351" s="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ht="12.75" x14ac:dyDescent="0.2">
      <c r="A352" s="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ht="12.75" x14ac:dyDescent="0.2">
      <c r="A353" s="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12.75" x14ac:dyDescent="0.2">
      <c r="A354" s="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12.75" x14ac:dyDescent="0.2">
      <c r="A355" s="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12.75" x14ac:dyDescent="0.2">
      <c r="A356" s="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12.75" x14ac:dyDescent="0.2">
      <c r="A357" s="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12.75" x14ac:dyDescent="0.2">
      <c r="A358" s="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12.75" x14ac:dyDescent="0.2">
      <c r="A359" s="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12.75" x14ac:dyDescent="0.2">
      <c r="A360" s="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12.75" x14ac:dyDescent="0.2">
      <c r="A361" s="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12.75" x14ac:dyDescent="0.2">
      <c r="A362" s="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12.75" x14ac:dyDescent="0.2">
      <c r="A363" s="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12.75" x14ac:dyDescent="0.2">
      <c r="A364" s="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12.75" x14ac:dyDescent="0.2">
      <c r="A365" s="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12.75" x14ac:dyDescent="0.2">
      <c r="A366" s="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12.75" x14ac:dyDescent="0.2">
      <c r="A367" s="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12.75" x14ac:dyDescent="0.2">
      <c r="A368" s="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ht="12.75" x14ac:dyDescent="0.2">
      <c r="A369" s="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ht="12.75" x14ac:dyDescent="0.2">
      <c r="A370" s="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ht="12.75" x14ac:dyDescent="0.2">
      <c r="A371" s="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ht="12.75" x14ac:dyDescent="0.2">
      <c r="A372" s="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ht="12.75" x14ac:dyDescent="0.2">
      <c r="A373" s="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ht="12.75" x14ac:dyDescent="0.2">
      <c r="A374" s="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ht="12.75" x14ac:dyDescent="0.2">
      <c r="A375" s="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ht="12.75" x14ac:dyDescent="0.2">
      <c r="A376" s="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ht="12.75" x14ac:dyDescent="0.2">
      <c r="A377" s="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ht="12.75" x14ac:dyDescent="0.2">
      <c r="A378" s="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ht="12.75" x14ac:dyDescent="0.2">
      <c r="A379" s="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ht="12.75" x14ac:dyDescent="0.2">
      <c r="A380" s="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ht="12.75" x14ac:dyDescent="0.2">
      <c r="A381" s="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ht="12.75" x14ac:dyDescent="0.2">
      <c r="A382" s="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ht="12.75" x14ac:dyDescent="0.2">
      <c r="A383" s="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ht="12.75" x14ac:dyDescent="0.2">
      <c r="A384" s="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ht="12.75" x14ac:dyDescent="0.2">
      <c r="A385" s="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ht="12.75" x14ac:dyDescent="0.2">
      <c r="A386" s="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ht="12.75" x14ac:dyDescent="0.2">
      <c r="A387" s="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12.75" x14ac:dyDescent="0.2">
      <c r="A388" s="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ht="12.75" x14ac:dyDescent="0.2">
      <c r="A389" s="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ht="12.75" x14ac:dyDescent="0.2">
      <c r="A390" s="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ht="12.75" x14ac:dyDescent="0.2">
      <c r="A391" s="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ht="12.75" x14ac:dyDescent="0.2">
      <c r="A392" s="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ht="12.75" x14ac:dyDescent="0.2">
      <c r="A393" s="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ht="12.75" x14ac:dyDescent="0.2">
      <c r="A394" s="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ht="12.75" x14ac:dyDescent="0.2">
      <c r="A395" s="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ht="12.75" x14ac:dyDescent="0.2">
      <c r="A396" s="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ht="12.75" x14ac:dyDescent="0.2">
      <c r="A397" s="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12.75" x14ac:dyDescent="0.2">
      <c r="A398" s="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ht="12.75" x14ac:dyDescent="0.2">
      <c r="A399" s="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ht="12.75" x14ac:dyDescent="0.2">
      <c r="A400" s="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ht="12.75" x14ac:dyDescent="0.2">
      <c r="A401" s="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ht="12.75" x14ac:dyDescent="0.2">
      <c r="A402" s="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ht="12.75" x14ac:dyDescent="0.2">
      <c r="A403" s="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ht="12.75" x14ac:dyDescent="0.2">
      <c r="A404" s="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ht="12.75" x14ac:dyDescent="0.2">
      <c r="A405" s="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ht="12.75" x14ac:dyDescent="0.2">
      <c r="A406" s="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ht="12.75" x14ac:dyDescent="0.2">
      <c r="A407" s="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ht="12.75" x14ac:dyDescent="0.2">
      <c r="A408" s="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ht="12.75" x14ac:dyDescent="0.2">
      <c r="A409" s="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ht="12.75" x14ac:dyDescent="0.2">
      <c r="A410" s="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ht="12.75" x14ac:dyDescent="0.2">
      <c r="A411" s="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ht="12.75" x14ac:dyDescent="0.2">
      <c r="A412" s="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ht="12.75" x14ac:dyDescent="0.2">
      <c r="A413" s="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ht="12.75" x14ac:dyDescent="0.2">
      <c r="A414" s="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ht="12.75" x14ac:dyDescent="0.2">
      <c r="A415" s="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12.75" x14ac:dyDescent="0.2">
      <c r="A416" s="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ht="12.75" x14ac:dyDescent="0.2">
      <c r="A417" s="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ht="12.75" x14ac:dyDescent="0.2">
      <c r="A418" s="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ht="12.75" x14ac:dyDescent="0.2">
      <c r="A419" s="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ht="12.75" x14ac:dyDescent="0.2">
      <c r="A420" s="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ht="12.75" x14ac:dyDescent="0.2">
      <c r="A421" s="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ht="12.75" x14ac:dyDescent="0.2">
      <c r="A422" s="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ht="12.75" x14ac:dyDescent="0.2">
      <c r="A423" s="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ht="12.75" x14ac:dyDescent="0.2">
      <c r="A424" s="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ht="12.75" x14ac:dyDescent="0.2">
      <c r="A425" s="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ht="12.75" x14ac:dyDescent="0.2">
      <c r="A426" s="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ht="12.75" x14ac:dyDescent="0.2">
      <c r="A427" s="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ht="12.75" x14ac:dyDescent="0.2">
      <c r="A428" s="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ht="12.75" x14ac:dyDescent="0.2">
      <c r="A429" s="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ht="12.75" x14ac:dyDescent="0.2">
      <c r="A430" s="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ht="12.75" x14ac:dyDescent="0.2">
      <c r="A431" s="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ht="12.75" x14ac:dyDescent="0.2">
      <c r="A432" s="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ht="12.75" x14ac:dyDescent="0.2">
      <c r="A433" s="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12.75" x14ac:dyDescent="0.2">
      <c r="A434" s="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ht="12.75" x14ac:dyDescent="0.2">
      <c r="A435" s="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ht="12.75" x14ac:dyDescent="0.2">
      <c r="A436" s="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ht="12.75" x14ac:dyDescent="0.2">
      <c r="A437" s="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ht="12.75" x14ac:dyDescent="0.2">
      <c r="A438" s="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ht="12.75" x14ac:dyDescent="0.2">
      <c r="A439" s="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12.75" x14ac:dyDescent="0.2">
      <c r="A440" s="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12.75" x14ac:dyDescent="0.2">
      <c r="A441" s="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ht="12.75" x14ac:dyDescent="0.2">
      <c r="A442" s="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12.75" x14ac:dyDescent="0.2">
      <c r="A443" s="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ht="12.75" x14ac:dyDescent="0.2">
      <c r="A444" s="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ht="12.75" x14ac:dyDescent="0.2">
      <c r="A445" s="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ht="12.75" x14ac:dyDescent="0.2">
      <c r="A446" s="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12.75" x14ac:dyDescent="0.2">
      <c r="A447" s="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ht="12.75" x14ac:dyDescent="0.2">
      <c r="A448" s="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ht="12.75" x14ac:dyDescent="0.2">
      <c r="A449" s="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ht="12.75" x14ac:dyDescent="0.2">
      <c r="A450" s="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ht="12.75" x14ac:dyDescent="0.2">
      <c r="A451" s="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ht="12.75" x14ac:dyDescent="0.2">
      <c r="A452" s="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ht="12.75" x14ac:dyDescent="0.2">
      <c r="A453" s="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ht="12.75" x14ac:dyDescent="0.2">
      <c r="A454" s="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ht="12.75" x14ac:dyDescent="0.2">
      <c r="A455" s="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ht="12.75" x14ac:dyDescent="0.2">
      <c r="A456" s="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ht="12.75" x14ac:dyDescent="0.2">
      <c r="A457" s="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ht="12.75" x14ac:dyDescent="0.2">
      <c r="A458" s="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ht="12.75" x14ac:dyDescent="0.2">
      <c r="A459" s="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ht="12.75" x14ac:dyDescent="0.2">
      <c r="A460" s="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ht="12.75" x14ac:dyDescent="0.2">
      <c r="A461" s="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ht="12.75" x14ac:dyDescent="0.2">
      <c r="A462" s="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ht="12.75" x14ac:dyDescent="0.2">
      <c r="A463" s="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ht="12.75" x14ac:dyDescent="0.2">
      <c r="A464" s="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ht="12.75" x14ac:dyDescent="0.2">
      <c r="A465" s="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ht="12.75" x14ac:dyDescent="0.2">
      <c r="A466" s="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ht="12.75" x14ac:dyDescent="0.2">
      <c r="A467" s="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ht="12.75" x14ac:dyDescent="0.2">
      <c r="A468" s="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ht="12.75" x14ac:dyDescent="0.2">
      <c r="A469" s="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ht="12.75" x14ac:dyDescent="0.2">
      <c r="A470" s="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ht="12.75" x14ac:dyDescent="0.2">
      <c r="A471" s="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ht="12.75" x14ac:dyDescent="0.2">
      <c r="A472" s="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ht="12.75" x14ac:dyDescent="0.2">
      <c r="A473" s="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ht="12.75" x14ac:dyDescent="0.2">
      <c r="A474" s="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ht="12.75" x14ac:dyDescent="0.2">
      <c r="A475" s="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ht="12.75" x14ac:dyDescent="0.2">
      <c r="A476" s="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ht="12.75" x14ac:dyDescent="0.2">
      <c r="A477" s="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ht="12.75" x14ac:dyDescent="0.2">
      <c r="A478" s="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ht="12.75" x14ac:dyDescent="0.2">
      <c r="A479" s="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ht="12.75" x14ac:dyDescent="0.2">
      <c r="A480" s="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ht="12.75" x14ac:dyDescent="0.2">
      <c r="A481" s="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ht="12.75" x14ac:dyDescent="0.2">
      <c r="A482" s="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ht="12.75" x14ac:dyDescent="0.2">
      <c r="A483" s="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ht="12.75" x14ac:dyDescent="0.2">
      <c r="A484" s="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12.75" x14ac:dyDescent="0.2">
      <c r="A485" s="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ht="12.75" x14ac:dyDescent="0.2">
      <c r="A486" s="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12.75" x14ac:dyDescent="0.2">
      <c r="A487" s="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ht="12.75" x14ac:dyDescent="0.2">
      <c r="A488" s="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ht="12.75" x14ac:dyDescent="0.2">
      <c r="A489" s="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12.75" x14ac:dyDescent="0.2">
      <c r="A490" s="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ht="12.75" x14ac:dyDescent="0.2">
      <c r="A491" s="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12.75" x14ac:dyDescent="0.2">
      <c r="A492" s="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ht="12.75" x14ac:dyDescent="0.2">
      <c r="A493" s="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ht="12.75" x14ac:dyDescent="0.2">
      <c r="A494" s="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ht="12.75" x14ac:dyDescent="0.2">
      <c r="A495" s="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12.75" x14ac:dyDescent="0.2">
      <c r="A496" s="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12.75" x14ac:dyDescent="0.2">
      <c r="A497" s="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12.75" x14ac:dyDescent="0.2">
      <c r="A498" s="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ht="12.75" x14ac:dyDescent="0.2">
      <c r="A499" s="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12.75" x14ac:dyDescent="0.2">
      <c r="A500" s="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12.75" x14ac:dyDescent="0.2">
      <c r="A501" s="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ht="12.75" x14ac:dyDescent="0.2">
      <c r="A502" s="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ht="12.75" x14ac:dyDescent="0.2">
      <c r="A503" s="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12.75" x14ac:dyDescent="0.2">
      <c r="A504" s="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12.75" x14ac:dyDescent="0.2">
      <c r="A505" s="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ht="12.75" x14ac:dyDescent="0.2">
      <c r="A506" s="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ht="12.75" x14ac:dyDescent="0.2">
      <c r="A507" s="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ht="12.75" x14ac:dyDescent="0.2">
      <c r="A508" s="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ht="12.75" x14ac:dyDescent="0.2">
      <c r="A509" s="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ht="12.75" x14ac:dyDescent="0.2">
      <c r="A510" s="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12.75" x14ac:dyDescent="0.2">
      <c r="A511" s="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12.75" x14ac:dyDescent="0.2">
      <c r="A512" s="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12.75" x14ac:dyDescent="0.2">
      <c r="A513" s="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12.75" x14ac:dyDescent="0.2">
      <c r="A514" s="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ht="12.75" x14ac:dyDescent="0.2">
      <c r="A515" s="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ht="12.75" x14ac:dyDescent="0.2">
      <c r="A516" s="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ht="12.75" x14ac:dyDescent="0.2">
      <c r="A517" s="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ht="12.75" x14ac:dyDescent="0.2">
      <c r="A518" s="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ht="12.75" x14ac:dyDescent="0.2">
      <c r="A519" s="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ht="12.75" x14ac:dyDescent="0.2">
      <c r="A520" s="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ht="12.75" x14ac:dyDescent="0.2">
      <c r="A521" s="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ht="12.75" x14ac:dyDescent="0.2">
      <c r="A522" s="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ht="12.75" x14ac:dyDescent="0.2">
      <c r="A523" s="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ht="12.75" x14ac:dyDescent="0.2">
      <c r="A524" s="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12.75" x14ac:dyDescent="0.2">
      <c r="A525" s="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ht="12.75" x14ac:dyDescent="0.2">
      <c r="A526" s="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12.75" x14ac:dyDescent="0.2">
      <c r="A527" s="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12.75" x14ac:dyDescent="0.2">
      <c r="A528" s="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12.75" x14ac:dyDescent="0.2">
      <c r="A529" s="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12.75" x14ac:dyDescent="0.2">
      <c r="A530" s="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ht="12.75" x14ac:dyDescent="0.2">
      <c r="A531" s="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ht="12.75" x14ac:dyDescent="0.2">
      <c r="A532" s="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ht="12.75" x14ac:dyDescent="0.2">
      <c r="A533" s="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ht="12.75" x14ac:dyDescent="0.2">
      <c r="A534" s="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ht="12.75" x14ac:dyDescent="0.2">
      <c r="A535" s="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ht="12.75" x14ac:dyDescent="0.2">
      <c r="A536" s="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ht="12.75" x14ac:dyDescent="0.2">
      <c r="A537" s="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12.75" x14ac:dyDescent="0.2">
      <c r="A538" s="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12.75" x14ac:dyDescent="0.2">
      <c r="A539" s="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ht="12.75" x14ac:dyDescent="0.2">
      <c r="A540" s="2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ht="12.75" x14ac:dyDescent="0.2">
      <c r="A541" s="2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ht="12.75" x14ac:dyDescent="0.2">
      <c r="A542" s="2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ht="12.75" x14ac:dyDescent="0.2">
      <c r="A543" s="2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ht="12.75" x14ac:dyDescent="0.2">
      <c r="A544" s="2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ht="12.75" x14ac:dyDescent="0.2">
      <c r="A545" s="2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ht="12.75" x14ac:dyDescent="0.2">
      <c r="A546" s="2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ht="12.75" x14ac:dyDescent="0.2">
      <c r="A547" s="2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12.75" x14ac:dyDescent="0.2">
      <c r="A548" s="2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ht="12.75" x14ac:dyDescent="0.2">
      <c r="A549" s="2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ht="12.75" x14ac:dyDescent="0.2">
      <c r="A550" s="2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12.75" x14ac:dyDescent="0.2">
      <c r="A551" s="2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ht="12.75" x14ac:dyDescent="0.2">
      <c r="A552" s="2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ht="12.75" x14ac:dyDescent="0.2">
      <c r="A553" s="2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ht="12.75" x14ac:dyDescent="0.2">
      <c r="A554" s="2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ht="12.75" x14ac:dyDescent="0.2">
      <c r="A555" s="2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ht="12.75" x14ac:dyDescent="0.2">
      <c r="A556" s="2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ht="12.75" x14ac:dyDescent="0.2">
      <c r="A557" s="2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ht="12.75" x14ac:dyDescent="0.2">
      <c r="A558" s="2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ht="12.75" x14ac:dyDescent="0.2">
      <c r="A559" s="2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ht="12.75" x14ac:dyDescent="0.2">
      <c r="A560" s="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ht="12.75" x14ac:dyDescent="0.2">
      <c r="A561" s="2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ht="12.75" x14ac:dyDescent="0.2">
      <c r="A562" s="2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ht="12.75" x14ac:dyDescent="0.2">
      <c r="A563" s="2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ht="12.75" x14ac:dyDescent="0.2">
      <c r="A564" s="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12.75" x14ac:dyDescent="0.2">
      <c r="A565" s="2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12.75" x14ac:dyDescent="0.2">
      <c r="A566" s="2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ht="12.75" x14ac:dyDescent="0.2">
      <c r="A567" s="2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12.75" x14ac:dyDescent="0.2">
      <c r="A568" s="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ht="12.75" x14ac:dyDescent="0.2">
      <c r="A569" s="2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ht="12.75" x14ac:dyDescent="0.2">
      <c r="A570" s="2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ht="12.75" x14ac:dyDescent="0.2">
      <c r="A571" s="2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ht="12.75" x14ac:dyDescent="0.2">
      <c r="A572" s="2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ht="12.75" x14ac:dyDescent="0.2">
      <c r="A573" s="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ht="12.75" x14ac:dyDescent="0.2">
      <c r="A574" s="2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ht="12.75" x14ac:dyDescent="0.2">
      <c r="A575" s="2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ht="12.75" x14ac:dyDescent="0.2">
      <c r="A576" s="2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ht="12.75" x14ac:dyDescent="0.2">
      <c r="A577" s="2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ht="12.75" x14ac:dyDescent="0.2">
      <c r="A578" s="2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ht="12.75" x14ac:dyDescent="0.2">
      <c r="A579" s="2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ht="12.75" x14ac:dyDescent="0.2">
      <c r="A580" s="2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ht="12.75" x14ac:dyDescent="0.2">
      <c r="A581" s="2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ht="12.75" x14ac:dyDescent="0.2">
      <c r="A582" s="2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ht="12.75" x14ac:dyDescent="0.2">
      <c r="A583" s="2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ht="12.75" x14ac:dyDescent="0.2">
      <c r="A584" s="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ht="12.75" x14ac:dyDescent="0.2">
      <c r="A585" s="2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ht="12.75" x14ac:dyDescent="0.2">
      <c r="A586" s="2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ht="12.75" x14ac:dyDescent="0.2">
      <c r="A587" s="2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ht="12.75" x14ac:dyDescent="0.2">
      <c r="A588" s="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ht="12.75" x14ac:dyDescent="0.2">
      <c r="A589" s="2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ht="12.75" x14ac:dyDescent="0.2">
      <c r="A590" s="2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ht="12.75" x14ac:dyDescent="0.2">
      <c r="A591" s="2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ht="12.75" x14ac:dyDescent="0.2">
      <c r="A592" s="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ht="12.75" x14ac:dyDescent="0.2">
      <c r="A593" s="2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ht="12.75" x14ac:dyDescent="0.2">
      <c r="A594" s="2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ht="12.75" x14ac:dyDescent="0.2">
      <c r="A595" s="2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ht="12.75" x14ac:dyDescent="0.2">
      <c r="A596" s="2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ht="12.75" x14ac:dyDescent="0.2">
      <c r="A597" s="2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ht="12.75" x14ac:dyDescent="0.2">
      <c r="A598" s="2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ht="12.75" x14ac:dyDescent="0.2">
      <c r="A599" s="2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ht="12.75" x14ac:dyDescent="0.2">
      <c r="A600" s="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ht="12.75" x14ac:dyDescent="0.2">
      <c r="A601" s="2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ht="12.75" x14ac:dyDescent="0.2">
      <c r="A602" s="2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ht="12.75" x14ac:dyDescent="0.2">
      <c r="A603" s="2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ht="12.75" x14ac:dyDescent="0.2">
      <c r="A604" s="2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ht="12.75" x14ac:dyDescent="0.2">
      <c r="A605" s="2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ht="12.75" x14ac:dyDescent="0.2">
      <c r="A606" s="2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ht="12.75" x14ac:dyDescent="0.2">
      <c r="A607" s="2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ht="12.75" x14ac:dyDescent="0.2">
      <c r="A608" s="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ht="12.75" x14ac:dyDescent="0.2">
      <c r="A609" s="2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ht="12.75" x14ac:dyDescent="0.2">
      <c r="A610" s="2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ht="12.75" x14ac:dyDescent="0.2">
      <c r="A611" s="2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ht="12.75" x14ac:dyDescent="0.2">
      <c r="A612" s="2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ht="12.75" x14ac:dyDescent="0.2">
      <c r="A613" s="2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ht="12.75" x14ac:dyDescent="0.2">
      <c r="A614" s="2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ht="12.75" x14ac:dyDescent="0.2">
      <c r="A615" s="2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ht="12.75" x14ac:dyDescent="0.2">
      <c r="A616" s="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ht="12.75" x14ac:dyDescent="0.2">
      <c r="A617" s="2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ht="12.75" x14ac:dyDescent="0.2">
      <c r="A618" s="2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ht="12.75" x14ac:dyDescent="0.2">
      <c r="A619" s="2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ht="12.75" x14ac:dyDescent="0.2">
      <c r="A620" s="2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ht="12.75" x14ac:dyDescent="0.2">
      <c r="A621" s="2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ht="12.75" x14ac:dyDescent="0.2">
      <c r="A622" s="2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ht="12.75" x14ac:dyDescent="0.2">
      <c r="A623" s="2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ht="12.75" x14ac:dyDescent="0.2">
      <c r="A624" s="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ht="12.75" x14ac:dyDescent="0.2">
      <c r="A625" s="2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ht="12.75" x14ac:dyDescent="0.2">
      <c r="A626" s="2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ht="12.75" x14ac:dyDescent="0.2">
      <c r="A627" s="2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ht="12.75" x14ac:dyDescent="0.2">
      <c r="A628" s="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ht="12.75" x14ac:dyDescent="0.2">
      <c r="A629" s="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ht="12.75" x14ac:dyDescent="0.2">
      <c r="A630" s="2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ht="12.75" x14ac:dyDescent="0.2">
      <c r="A631" s="2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ht="12.75" x14ac:dyDescent="0.2">
      <c r="A632" s="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ht="12.75" x14ac:dyDescent="0.2">
      <c r="A633" s="2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ht="12.75" x14ac:dyDescent="0.2">
      <c r="A634" s="2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ht="12.75" x14ac:dyDescent="0.2">
      <c r="A635" s="2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ht="12.75" x14ac:dyDescent="0.2">
      <c r="A636" s="2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ht="12.75" x14ac:dyDescent="0.2">
      <c r="A637" s="2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ht="12.75" x14ac:dyDescent="0.2">
      <c r="A638" s="2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ht="12.75" x14ac:dyDescent="0.2">
      <c r="A639" s="2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ht="12.75" x14ac:dyDescent="0.2">
      <c r="A640" s="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ht="12.75" x14ac:dyDescent="0.2">
      <c r="A641" s="2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ht="12.75" x14ac:dyDescent="0.2">
      <c r="A642" s="2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ht="12.75" x14ac:dyDescent="0.2">
      <c r="A643" s="2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ht="12.75" x14ac:dyDescent="0.2">
      <c r="A644" s="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ht="12.75" x14ac:dyDescent="0.2">
      <c r="A645" s="2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ht="12.75" x14ac:dyDescent="0.2">
      <c r="A646" s="2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ht="12.75" x14ac:dyDescent="0.2">
      <c r="A647" s="2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ht="12.75" x14ac:dyDescent="0.2">
      <c r="A648" s="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ht="12.75" x14ac:dyDescent="0.2">
      <c r="A649" s="2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ht="12.75" x14ac:dyDescent="0.2">
      <c r="A650" s="2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ht="12.75" x14ac:dyDescent="0.2">
      <c r="A651" s="2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ht="12.75" x14ac:dyDescent="0.2">
      <c r="A652" s="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ht="12.75" x14ac:dyDescent="0.2">
      <c r="A653" s="2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ht="12.75" x14ac:dyDescent="0.2">
      <c r="A654" s="2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ht="12.75" x14ac:dyDescent="0.2">
      <c r="A655" s="2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ht="12.75" x14ac:dyDescent="0.2">
      <c r="A656" s="2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ht="12.75" x14ac:dyDescent="0.2">
      <c r="A657" s="2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ht="12.75" x14ac:dyDescent="0.2">
      <c r="A658" s="2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ht="12.75" x14ac:dyDescent="0.2">
      <c r="A659" s="2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ht="12.75" x14ac:dyDescent="0.2">
      <c r="A660" s="2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ht="12.75" x14ac:dyDescent="0.2">
      <c r="A661" s="2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ht="12.75" x14ac:dyDescent="0.2">
      <c r="A662" s="2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ht="12.75" x14ac:dyDescent="0.2">
      <c r="A663" s="2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ht="12.75" x14ac:dyDescent="0.2">
      <c r="A664" s="2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ht="12.75" x14ac:dyDescent="0.2">
      <c r="A665" s="2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ht="12.75" x14ac:dyDescent="0.2">
      <c r="A666" s="2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ht="12.75" x14ac:dyDescent="0.2">
      <c r="A667" s="2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ht="12.75" x14ac:dyDescent="0.2">
      <c r="A668" s="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ht="12.75" x14ac:dyDescent="0.2">
      <c r="A669" s="2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ht="12.75" x14ac:dyDescent="0.2">
      <c r="A670" s="2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ht="12.75" x14ac:dyDescent="0.2">
      <c r="A671" s="2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ht="12.75" x14ac:dyDescent="0.2">
      <c r="A672" s="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ht="12.75" x14ac:dyDescent="0.2">
      <c r="A673" s="2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ht="12.75" x14ac:dyDescent="0.2">
      <c r="A674" s="2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ht="12.75" x14ac:dyDescent="0.2">
      <c r="A675" s="2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ht="12.75" x14ac:dyDescent="0.2">
      <c r="A676" s="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ht="12.75" x14ac:dyDescent="0.2">
      <c r="A677" s="2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ht="12.75" x14ac:dyDescent="0.2">
      <c r="A678" s="2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ht="12.75" x14ac:dyDescent="0.2">
      <c r="A679" s="2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ht="12.75" x14ac:dyDescent="0.2">
      <c r="A680" s="2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ht="12.75" x14ac:dyDescent="0.2">
      <c r="A681" s="2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ht="12.75" x14ac:dyDescent="0.2">
      <c r="A682" s="2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ht="12.75" x14ac:dyDescent="0.2">
      <c r="A683" s="2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ht="12.75" x14ac:dyDescent="0.2">
      <c r="A684" s="2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ht="12.75" x14ac:dyDescent="0.2">
      <c r="A685" s="2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ht="12.75" x14ac:dyDescent="0.2">
      <c r="A686" s="2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ht="12.75" x14ac:dyDescent="0.2">
      <c r="A687" s="2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ht="12.75" x14ac:dyDescent="0.2">
      <c r="A688" s="2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ht="12.75" x14ac:dyDescent="0.2">
      <c r="A689" s="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ht="12.75" x14ac:dyDescent="0.2">
      <c r="A690" s="2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ht="12.75" x14ac:dyDescent="0.2">
      <c r="A691" s="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ht="12.75" x14ac:dyDescent="0.2">
      <c r="A692" s="2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ht="12.75" x14ac:dyDescent="0.2">
      <c r="A693" s="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ht="12.75" x14ac:dyDescent="0.2">
      <c r="A694" s="2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ht="12.75" x14ac:dyDescent="0.2">
      <c r="A695" s="2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ht="12.75" x14ac:dyDescent="0.2">
      <c r="A696" s="2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ht="12.75" x14ac:dyDescent="0.2">
      <c r="A697" s="2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ht="12.75" x14ac:dyDescent="0.2">
      <c r="A698" s="2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ht="12.75" x14ac:dyDescent="0.2">
      <c r="A699" s="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ht="12.75" x14ac:dyDescent="0.2">
      <c r="A700" s="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ht="12.75" x14ac:dyDescent="0.2">
      <c r="A701" s="2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ht="12.75" x14ac:dyDescent="0.2">
      <c r="A702" s="2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ht="12.75" x14ac:dyDescent="0.2">
      <c r="A703" s="2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ht="12.75" x14ac:dyDescent="0.2">
      <c r="A704" s="2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ht="12.75" x14ac:dyDescent="0.2">
      <c r="A705" s="2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ht="12.75" x14ac:dyDescent="0.2">
      <c r="A706" s="2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ht="12.75" x14ac:dyDescent="0.2">
      <c r="A707" s="2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ht="12.75" x14ac:dyDescent="0.2">
      <c r="A708" s="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ht="12.75" x14ac:dyDescent="0.2">
      <c r="A709" s="2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ht="12.75" x14ac:dyDescent="0.2">
      <c r="A710" s="2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ht="12.75" x14ac:dyDescent="0.2">
      <c r="A711" s="2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ht="12.75" x14ac:dyDescent="0.2">
      <c r="A712" s="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ht="12.75" x14ac:dyDescent="0.2">
      <c r="A713" s="2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ht="12.75" x14ac:dyDescent="0.2">
      <c r="A714" s="2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ht="12.75" x14ac:dyDescent="0.2">
      <c r="A715" s="2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ht="12.75" x14ac:dyDescent="0.2">
      <c r="A716" s="2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ht="12.75" x14ac:dyDescent="0.2">
      <c r="A717" s="2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ht="12.75" x14ac:dyDescent="0.2">
      <c r="A718" s="2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ht="12.75" x14ac:dyDescent="0.2">
      <c r="A719" s="2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ht="12.75" x14ac:dyDescent="0.2">
      <c r="A720" s="2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ht="12.75" x14ac:dyDescent="0.2">
      <c r="A721" s="2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ht="12.75" x14ac:dyDescent="0.2">
      <c r="A722" s="2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ht="12.75" x14ac:dyDescent="0.2">
      <c r="A723" s="2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ht="12.75" x14ac:dyDescent="0.2">
      <c r="A724" s="2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ht="12.75" x14ac:dyDescent="0.2">
      <c r="A725" s="2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ht="12.75" x14ac:dyDescent="0.2">
      <c r="A726" s="2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ht="12.75" x14ac:dyDescent="0.2">
      <c r="A727" s="2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ht="12.75" x14ac:dyDescent="0.2">
      <c r="A728" s="2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ht="12.75" x14ac:dyDescent="0.2">
      <c r="A729" s="2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ht="12.75" x14ac:dyDescent="0.2">
      <c r="A730" s="2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ht="12.75" x14ac:dyDescent="0.2">
      <c r="A731" s="2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ht="12.75" x14ac:dyDescent="0.2">
      <c r="A732" s="2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ht="12.75" x14ac:dyDescent="0.2">
      <c r="A733" s="2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ht="12.75" x14ac:dyDescent="0.2">
      <c r="A734" s="2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ht="12.75" x14ac:dyDescent="0.2">
      <c r="A735" s="2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ht="12.75" x14ac:dyDescent="0.2">
      <c r="A736" s="2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ht="12.75" x14ac:dyDescent="0.2">
      <c r="A737" s="2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ht="12.75" x14ac:dyDescent="0.2">
      <c r="A738" s="2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ht="12.75" x14ac:dyDescent="0.2">
      <c r="A739" s="2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ht="12.75" x14ac:dyDescent="0.2">
      <c r="A740" s="2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ht="12.75" x14ac:dyDescent="0.2">
      <c r="A741" s="2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ht="12.75" x14ac:dyDescent="0.2">
      <c r="A742" s="2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ht="12.75" x14ac:dyDescent="0.2">
      <c r="A743" s="2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ht="12.75" x14ac:dyDescent="0.2">
      <c r="A744" s="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ht="12.75" x14ac:dyDescent="0.2">
      <c r="A745" s="2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ht="12.75" x14ac:dyDescent="0.2">
      <c r="A746" s="2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ht="12.75" x14ac:dyDescent="0.2">
      <c r="A747" s="2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ht="12.75" x14ac:dyDescent="0.2">
      <c r="A748" s="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ht="12.75" x14ac:dyDescent="0.2">
      <c r="A749" s="2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ht="12.75" x14ac:dyDescent="0.2">
      <c r="A750" s="2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ht="12.75" x14ac:dyDescent="0.2">
      <c r="A751" s="2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ht="12.75" x14ac:dyDescent="0.2">
      <c r="A752" s="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ht="12.75" x14ac:dyDescent="0.2">
      <c r="A753" s="2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ht="12.75" x14ac:dyDescent="0.2">
      <c r="A754" s="2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ht="12.75" x14ac:dyDescent="0.2">
      <c r="A755" s="2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ht="12.75" x14ac:dyDescent="0.2">
      <c r="A756" s="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ht="12.75" x14ac:dyDescent="0.2">
      <c r="A757" s="2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ht="12.75" x14ac:dyDescent="0.2">
      <c r="A758" s="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ht="12.75" x14ac:dyDescent="0.2">
      <c r="A759" s="2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ht="12.75" x14ac:dyDescent="0.2">
      <c r="A760" s="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ht="12.75" x14ac:dyDescent="0.2">
      <c r="A761" s="2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ht="12.75" x14ac:dyDescent="0.2">
      <c r="A762" s="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ht="12.75" x14ac:dyDescent="0.2">
      <c r="A763" s="2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ht="12.75" x14ac:dyDescent="0.2">
      <c r="A764" s="2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ht="12.75" x14ac:dyDescent="0.2">
      <c r="A765" s="2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ht="12.75" x14ac:dyDescent="0.2">
      <c r="A766" s="2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ht="12.75" x14ac:dyDescent="0.2">
      <c r="A767" s="2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ht="12.75" x14ac:dyDescent="0.2">
      <c r="A768" s="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ht="12.75" x14ac:dyDescent="0.2">
      <c r="A769" s="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ht="12.75" x14ac:dyDescent="0.2">
      <c r="A770" s="2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ht="12.75" x14ac:dyDescent="0.2">
      <c r="A771" s="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ht="12.75" x14ac:dyDescent="0.2">
      <c r="A772" s="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ht="12.75" x14ac:dyDescent="0.2">
      <c r="A773" s="2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ht="12.75" x14ac:dyDescent="0.2">
      <c r="A774" s="2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ht="12.75" x14ac:dyDescent="0.2">
      <c r="A775" s="2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ht="12.75" x14ac:dyDescent="0.2">
      <c r="A776" s="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ht="12.75" x14ac:dyDescent="0.2">
      <c r="A777" s="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ht="12.75" x14ac:dyDescent="0.2">
      <c r="A778" s="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ht="12.75" x14ac:dyDescent="0.2">
      <c r="A779" s="2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ht="12.75" x14ac:dyDescent="0.2">
      <c r="A780" s="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ht="12.75" x14ac:dyDescent="0.2">
      <c r="A781" s="2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ht="12.75" x14ac:dyDescent="0.2">
      <c r="A782" s="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ht="12.75" x14ac:dyDescent="0.2">
      <c r="A783" s="2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ht="12.75" x14ac:dyDescent="0.2">
      <c r="A784" s="2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ht="12.75" x14ac:dyDescent="0.2">
      <c r="A785" s="2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ht="12.75" x14ac:dyDescent="0.2">
      <c r="A786" s="2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ht="12.75" x14ac:dyDescent="0.2">
      <c r="A787" s="2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ht="12.75" x14ac:dyDescent="0.2">
      <c r="A788" s="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ht="12.75" x14ac:dyDescent="0.2">
      <c r="A789" s="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ht="12.75" x14ac:dyDescent="0.2">
      <c r="A790" s="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ht="12.75" x14ac:dyDescent="0.2">
      <c r="A791" s="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ht="12.75" x14ac:dyDescent="0.2">
      <c r="A792" s="2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ht="12.75" x14ac:dyDescent="0.2">
      <c r="A793" s="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ht="12.75" x14ac:dyDescent="0.2">
      <c r="A794" s="2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ht="12.75" x14ac:dyDescent="0.2">
      <c r="A795" s="2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ht="12.75" x14ac:dyDescent="0.2">
      <c r="A796" s="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ht="12.75" x14ac:dyDescent="0.2">
      <c r="A797" s="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ht="12.75" x14ac:dyDescent="0.2">
      <c r="A798" s="2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ht="12.75" x14ac:dyDescent="0.2">
      <c r="A799" s="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ht="12.75" x14ac:dyDescent="0.2">
      <c r="A800" s="2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ht="12.75" x14ac:dyDescent="0.2">
      <c r="A801" s="2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ht="12.75" x14ac:dyDescent="0.2">
      <c r="A802" s="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ht="12.75" x14ac:dyDescent="0.2">
      <c r="A803" s="2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ht="12.75" x14ac:dyDescent="0.2">
      <c r="A804" s="2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ht="12.75" x14ac:dyDescent="0.2">
      <c r="A805" s="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ht="12.75" x14ac:dyDescent="0.2">
      <c r="A806" s="2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ht="12.75" x14ac:dyDescent="0.2">
      <c r="A807" s="2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ht="12.75" x14ac:dyDescent="0.2">
      <c r="A808" s="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ht="12.75" x14ac:dyDescent="0.2">
      <c r="A809" s="2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ht="12.75" x14ac:dyDescent="0.2">
      <c r="A810" s="2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ht="12.75" x14ac:dyDescent="0.2">
      <c r="A811" s="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ht="12.75" x14ac:dyDescent="0.2">
      <c r="A812" s="2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ht="12.75" x14ac:dyDescent="0.2">
      <c r="A813" s="2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ht="12.75" x14ac:dyDescent="0.2">
      <c r="A814" s="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ht="12.75" x14ac:dyDescent="0.2">
      <c r="A815" s="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ht="12.75" x14ac:dyDescent="0.2">
      <c r="A816" s="2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ht="12.75" x14ac:dyDescent="0.2">
      <c r="A817" s="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ht="12.75" x14ac:dyDescent="0.2">
      <c r="A818" s="2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ht="12.75" x14ac:dyDescent="0.2">
      <c r="A819" s="2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ht="12.75" x14ac:dyDescent="0.2">
      <c r="A820" s="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ht="12.75" x14ac:dyDescent="0.2">
      <c r="A821" s="2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ht="12.75" x14ac:dyDescent="0.2">
      <c r="A822" s="2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ht="12.75" x14ac:dyDescent="0.2">
      <c r="A823" s="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ht="12.75" x14ac:dyDescent="0.2">
      <c r="A824" s="2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ht="12.75" x14ac:dyDescent="0.2">
      <c r="A825" s="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ht="12.75" x14ac:dyDescent="0.2">
      <c r="A826" s="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ht="12.75" x14ac:dyDescent="0.2">
      <c r="A827" s="2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ht="12.75" x14ac:dyDescent="0.2">
      <c r="A828" s="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ht="12.75" x14ac:dyDescent="0.2">
      <c r="A829" s="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ht="12.75" x14ac:dyDescent="0.2">
      <c r="A830" s="2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ht="12.75" x14ac:dyDescent="0.2">
      <c r="A831" s="2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ht="12.75" x14ac:dyDescent="0.2">
      <c r="A832" s="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ht="12.75" x14ac:dyDescent="0.2">
      <c r="A833" s="2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ht="12.75" x14ac:dyDescent="0.2">
      <c r="A834" s="2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ht="12.75" x14ac:dyDescent="0.2">
      <c r="A835" s="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ht="12.75" x14ac:dyDescent="0.2">
      <c r="A836" s="2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ht="12.75" x14ac:dyDescent="0.2">
      <c r="A837" s="2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ht="12.75" x14ac:dyDescent="0.2">
      <c r="A838" s="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ht="12.75" x14ac:dyDescent="0.2">
      <c r="A839" s="2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ht="12.75" x14ac:dyDescent="0.2">
      <c r="A840" s="2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ht="12.75" x14ac:dyDescent="0.2">
      <c r="A841" s="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ht="12.75" x14ac:dyDescent="0.2">
      <c r="A842" s="2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ht="12.75" x14ac:dyDescent="0.2">
      <c r="A843" s="2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ht="12.75" x14ac:dyDescent="0.2">
      <c r="A844" s="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ht="12.75" x14ac:dyDescent="0.2">
      <c r="A845" s="2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ht="12.75" x14ac:dyDescent="0.2">
      <c r="A846" s="2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ht="12.75" x14ac:dyDescent="0.2">
      <c r="A847" s="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ht="12.75" x14ac:dyDescent="0.2">
      <c r="A848" s="2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ht="12.75" x14ac:dyDescent="0.2">
      <c r="A849" s="2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ht="12.75" x14ac:dyDescent="0.2">
      <c r="A850" s="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ht="12.75" x14ac:dyDescent="0.2">
      <c r="A851" s="2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ht="12.75" x14ac:dyDescent="0.2">
      <c r="A852" s="2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ht="12.75" x14ac:dyDescent="0.2">
      <c r="A853" s="2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ht="12.75" x14ac:dyDescent="0.2">
      <c r="A854" s="2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ht="12.75" x14ac:dyDescent="0.2">
      <c r="A855" s="2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ht="12.75" x14ac:dyDescent="0.2">
      <c r="A856" s="2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ht="12.75" x14ac:dyDescent="0.2">
      <c r="A857" s="2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ht="12.75" x14ac:dyDescent="0.2">
      <c r="A858" s="2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ht="12.75" x14ac:dyDescent="0.2">
      <c r="A859" s="2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ht="12.75" x14ac:dyDescent="0.2">
      <c r="A860" s="2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ht="12.75" x14ac:dyDescent="0.2">
      <c r="A861" s="2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ht="12.75" x14ac:dyDescent="0.2">
      <c r="A862" s="2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ht="12.75" x14ac:dyDescent="0.2">
      <c r="A863" s="2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ht="12.75" x14ac:dyDescent="0.2">
      <c r="A864" s="2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ht="12.75" x14ac:dyDescent="0.2">
      <c r="A865" s="2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ht="12.75" x14ac:dyDescent="0.2">
      <c r="A866" s="2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ht="12.75" x14ac:dyDescent="0.2">
      <c r="A867" s="2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ht="12.75" x14ac:dyDescent="0.2">
      <c r="A868" s="2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ht="12.75" x14ac:dyDescent="0.2">
      <c r="A869" s="2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ht="12.75" x14ac:dyDescent="0.2">
      <c r="A870" s="2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ht="12.75" x14ac:dyDescent="0.2">
      <c r="A871" s="2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ht="12.75" x14ac:dyDescent="0.2">
      <c r="A872" s="2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ht="12.75" x14ac:dyDescent="0.2">
      <c r="A873" s="2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ht="12.75" x14ac:dyDescent="0.2">
      <c r="A874" s="2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ht="12.75" x14ac:dyDescent="0.2">
      <c r="A875" s="2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ht="12.75" x14ac:dyDescent="0.2">
      <c r="A876" s="2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ht="12.75" x14ac:dyDescent="0.2">
      <c r="A877" s="2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ht="12.75" x14ac:dyDescent="0.2">
      <c r="A878" s="2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ht="12.75" x14ac:dyDescent="0.2">
      <c r="A879" s="2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ht="12.75" x14ac:dyDescent="0.2">
      <c r="A880" s="2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ht="12.75" x14ac:dyDescent="0.2">
      <c r="A881" s="2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ht="12.75" x14ac:dyDescent="0.2">
      <c r="A882" s="2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ht="12.75" x14ac:dyDescent="0.2">
      <c r="A883" s="2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ht="12.75" x14ac:dyDescent="0.2">
      <c r="A884" s="2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ht="12.75" x14ac:dyDescent="0.2">
      <c r="A885" s="2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ht="12.75" x14ac:dyDescent="0.2">
      <c r="A886" s="2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ht="12.75" x14ac:dyDescent="0.2">
      <c r="A887" s="2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ht="12.75" x14ac:dyDescent="0.2">
      <c r="A888" s="2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ht="12.75" x14ac:dyDescent="0.2">
      <c r="A889" s="2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ht="12.75" x14ac:dyDescent="0.2">
      <c r="A890" s="2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ht="12.75" x14ac:dyDescent="0.2">
      <c r="A891" s="2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ht="12.75" x14ac:dyDescent="0.2">
      <c r="A892" s="2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ht="12.75" x14ac:dyDescent="0.2">
      <c r="A893" s="2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ht="12.75" x14ac:dyDescent="0.2">
      <c r="A894" s="2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ht="12.75" x14ac:dyDescent="0.2">
      <c r="A895" s="2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ht="12.75" x14ac:dyDescent="0.2">
      <c r="A896" s="2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ht="12.75" x14ac:dyDescent="0.2">
      <c r="A897" s="2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ht="12.75" x14ac:dyDescent="0.2">
      <c r="A898" s="2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ht="12.75" x14ac:dyDescent="0.2">
      <c r="A899" s="2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ht="12.75" x14ac:dyDescent="0.2">
      <c r="A900" s="2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ht="12.75" x14ac:dyDescent="0.2">
      <c r="A901" s="2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ht="12.75" x14ac:dyDescent="0.2">
      <c r="A902" s="2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ht="12.75" x14ac:dyDescent="0.2">
      <c r="A903" s="2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ht="12.75" x14ac:dyDescent="0.2">
      <c r="A904" s="2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ht="12.75" x14ac:dyDescent="0.2">
      <c r="A905" s="2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ht="12.75" x14ac:dyDescent="0.2">
      <c r="A906" s="2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ht="12.75" x14ac:dyDescent="0.2">
      <c r="A907" s="2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ht="12.75" x14ac:dyDescent="0.2">
      <c r="A908" s="2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ht="12.75" x14ac:dyDescent="0.2">
      <c r="A909" s="2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ht="12.75" x14ac:dyDescent="0.2">
      <c r="A910" s="2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ht="12.75" x14ac:dyDescent="0.2">
      <c r="A911" s="2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ht="12.75" x14ac:dyDescent="0.2">
      <c r="A912" s="2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ht="12.75" x14ac:dyDescent="0.2">
      <c r="A913" s="2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ht="12.75" x14ac:dyDescent="0.2">
      <c r="A914" s="2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ht="12.75" x14ac:dyDescent="0.2">
      <c r="A915" s="2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ht="12.75" x14ac:dyDescent="0.2">
      <c r="A916" s="2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ht="12.75" x14ac:dyDescent="0.2">
      <c r="A917" s="2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ht="12.75" x14ac:dyDescent="0.2">
      <c r="A918" s="2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ht="12.75" x14ac:dyDescent="0.2">
      <c r="A919" s="2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ht="12.75" x14ac:dyDescent="0.2">
      <c r="A920" s="2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ht="12.75" x14ac:dyDescent="0.2">
      <c r="A921" s="2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ht="12.75" x14ac:dyDescent="0.2">
      <c r="A922" s="2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ht="12.75" x14ac:dyDescent="0.2">
      <c r="A923" s="2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ht="12.75" x14ac:dyDescent="0.2">
      <c r="A924" s="2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ht="12.75" x14ac:dyDescent="0.2">
      <c r="A925" s="2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ht="12.75" x14ac:dyDescent="0.2">
      <c r="A926" s="2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ht="12.75" x14ac:dyDescent="0.2">
      <c r="A927" s="2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ht="12.75" x14ac:dyDescent="0.2">
      <c r="A928" s="2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ht="12.75" x14ac:dyDescent="0.2">
      <c r="A929" s="2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ht="12.75" x14ac:dyDescent="0.2">
      <c r="A930" s="2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ht="12.75" x14ac:dyDescent="0.2">
      <c r="A931" s="2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ht="12.75" x14ac:dyDescent="0.2">
      <c r="A932" s="2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ht="12.75" x14ac:dyDescent="0.2">
      <c r="A933" s="2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ht="12.75" x14ac:dyDescent="0.2">
      <c r="A934" s="2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ht="12.75" x14ac:dyDescent="0.2">
      <c r="A935" s="2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ht="12.75" x14ac:dyDescent="0.2">
      <c r="A936" s="2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ht="12.75" x14ac:dyDescent="0.2">
      <c r="A937" s="2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ht="12.75" x14ac:dyDescent="0.2">
      <c r="A938" s="2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ht="12.75" x14ac:dyDescent="0.2">
      <c r="A939" s="2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ht="12.75" x14ac:dyDescent="0.2">
      <c r="A940" s="2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ht="12.75" x14ac:dyDescent="0.2">
      <c r="A941" s="2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ht="12.75" x14ac:dyDescent="0.2">
      <c r="A942" s="2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ht="12.75" x14ac:dyDescent="0.2">
      <c r="A943" s="2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ht="12.75" x14ac:dyDescent="0.2">
      <c r="A944" s="2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ht="12.75" x14ac:dyDescent="0.2">
      <c r="A945" s="2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ht="12.75" x14ac:dyDescent="0.2">
      <c r="A946" s="2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ht="12.75" x14ac:dyDescent="0.2">
      <c r="A947" s="2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ht="12.75" x14ac:dyDescent="0.2">
      <c r="A948" s="2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ht="12.75" x14ac:dyDescent="0.2">
      <c r="A949" s="2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ht="12.75" x14ac:dyDescent="0.2">
      <c r="A950" s="2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ht="12.75" x14ac:dyDescent="0.2">
      <c r="A951" s="2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ht="12.75" x14ac:dyDescent="0.2">
      <c r="A952" s="2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ht="12.75" x14ac:dyDescent="0.2">
      <c r="A953" s="2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ht="12.75" x14ac:dyDescent="0.2">
      <c r="A954" s="2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ht="12.75" x14ac:dyDescent="0.2">
      <c r="A955" s="2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ht="12.75" x14ac:dyDescent="0.2">
      <c r="A956" s="2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ht="12.75" x14ac:dyDescent="0.2">
      <c r="A957" s="2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ht="12.75" x14ac:dyDescent="0.2">
      <c r="A958" s="2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ht="12.75" x14ac:dyDescent="0.2">
      <c r="A959" s="2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ht="12.75" x14ac:dyDescent="0.2">
      <c r="A960" s="2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ht="12.75" x14ac:dyDescent="0.2">
      <c r="A961" s="2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ht="12.75" x14ac:dyDescent="0.2">
      <c r="A962" s="2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ht="12.75" x14ac:dyDescent="0.2">
      <c r="A963" s="2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ht="12.75" x14ac:dyDescent="0.2">
      <c r="A964" s="2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ht="12.75" x14ac:dyDescent="0.2">
      <c r="A965" s="2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ht="12.75" x14ac:dyDescent="0.2">
      <c r="A966" s="2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ht="12.75" x14ac:dyDescent="0.2">
      <c r="A967" s="2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ht="12.75" x14ac:dyDescent="0.2">
      <c r="A968" s="2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ht="12.75" x14ac:dyDescent="0.2">
      <c r="A969" s="2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ht="12.75" x14ac:dyDescent="0.2">
      <c r="A970" s="2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ht="12.75" x14ac:dyDescent="0.2">
      <c r="A971" s="2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ht="12.75" x14ac:dyDescent="0.2">
      <c r="A972" s="2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ht="12.75" x14ac:dyDescent="0.2">
      <c r="A973" s="2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ht="12.75" x14ac:dyDescent="0.2">
      <c r="A974" s="2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 ht="12.75" x14ac:dyDescent="0.2">
      <c r="A975" s="2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 ht="12.75" x14ac:dyDescent="0.2">
      <c r="A976" s="2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 ht="12.75" x14ac:dyDescent="0.2">
      <c r="A977" s="2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 ht="12.75" x14ac:dyDescent="0.2">
      <c r="A978" s="2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 ht="12.75" x14ac:dyDescent="0.2">
      <c r="A979" s="2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 ht="12.75" x14ac:dyDescent="0.2">
      <c r="A980" s="2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ht="12.75" x14ac:dyDescent="0.2">
      <c r="A981" s="2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 ht="12.75" x14ac:dyDescent="0.2">
      <c r="A982" s="2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 ht="12.75" x14ac:dyDescent="0.2">
      <c r="A983" s="2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 ht="12.75" x14ac:dyDescent="0.2">
      <c r="A984" s="2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 ht="12.75" x14ac:dyDescent="0.2">
      <c r="A985" s="2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 ht="12.75" x14ac:dyDescent="0.2">
      <c r="A986" s="2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</sheetData>
  <mergeCells count="6">
    <mergeCell ref="M109:N109"/>
    <mergeCell ref="A1:B1"/>
    <mergeCell ref="D1:E1"/>
    <mergeCell ref="G1:H1"/>
    <mergeCell ref="J1:K1"/>
    <mergeCell ref="M64:N64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Dezembro</vt:lpstr>
      <vt:lpstr>Janeiro</vt:lpstr>
      <vt:lpstr>Fevereiro</vt:lpstr>
      <vt:lpstr>Maiok</vt:lpstr>
      <vt:lpstr>Junho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Gilberto Alves</cp:lastModifiedBy>
  <dcterms:modified xsi:type="dcterms:W3CDTF">2026-04-04T15:55:57Z</dcterms:modified>
</cp:coreProperties>
</file>